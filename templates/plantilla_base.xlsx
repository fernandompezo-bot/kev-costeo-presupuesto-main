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KEV Ofertas\2026\101-2026 - Migracion ARRANCADOR SUAVE SIRIUS\"/>
    </mc:Choice>
  </mc:AlternateContent>
  <xr:revisionPtr revIDLastSave="0" documentId="13_ncr:1_{FE249C62-C7A2-426C-AA3A-41931DCB4A6D}" xr6:coauthVersionLast="47" xr6:coauthVersionMax="47" xr10:uidLastSave="{00000000-0000-0000-0000-000000000000}"/>
  <bookViews>
    <workbookView xWindow="-120" yWindow="-120" windowWidth="29040" windowHeight="15720" tabRatio="662" activeTab="1" xr2:uid="{00000000-000D-0000-FFFF-FFFF00000000}"/>
  </bookViews>
  <sheets>
    <sheet name="RESUMEN GENERAL" sheetId="5" r:id="rId1"/>
    <sheet name="Ingeniería y Planificación" sheetId="6" r:id="rId2"/>
    <sheet name="Adicionales" sheetId="7" r:id="rId3"/>
    <sheet name="Integración Eléctrica" sheetId="13" r:id="rId4"/>
    <sheet name="Equipos" sheetId="8" r:id="rId5"/>
    <sheet name="Flete" sheetId="11" r:id="rId6"/>
    <sheet name="Montaje" sheetId="12" r:id="rId7"/>
    <sheet name="Otros" sheetId="10" r:id="rId8"/>
    <sheet name="Listado" sheetId="16" r:id="rId9"/>
  </sheets>
  <definedNames>
    <definedName name="_xlnm._FilterDatabase" localSheetId="4" hidden="1">Equipos!$B$7:$M$15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6" l="1"/>
  <c r="B5" i="16"/>
  <c r="B6" i="16"/>
  <c r="B7" i="16"/>
  <c r="B8" i="16"/>
  <c r="B9" i="16"/>
  <c r="B10" i="16"/>
  <c r="B11" i="16"/>
  <c r="B12" i="16"/>
  <c r="C12" i="16"/>
  <c r="C4" i="16" l="1"/>
  <c r="C5" i="16"/>
  <c r="C6" i="16"/>
  <c r="C7" i="16"/>
  <c r="C8" i="16"/>
  <c r="C9" i="16"/>
  <c r="C10" i="16"/>
  <c r="C11" i="16"/>
  <c r="C3" i="16"/>
  <c r="B3" i="16" l="1"/>
  <c r="I9" i="8"/>
  <c r="I10" i="8"/>
  <c r="I11" i="8"/>
  <c r="I12" i="8"/>
  <c r="I13" i="8"/>
  <c r="I15" i="8"/>
  <c r="I16" i="8"/>
  <c r="I17" i="8"/>
  <c r="I18" i="8"/>
  <c r="I19" i="8"/>
  <c r="I20" i="8"/>
  <c r="I21" i="8"/>
  <c r="I22" i="8"/>
  <c r="I23" i="8"/>
  <c r="I24" i="8"/>
  <c r="L5" i="8"/>
  <c r="J17" i="8" s="1"/>
  <c r="I8" i="8"/>
  <c r="J8" i="8" s="1"/>
  <c r="K8" i="8" l="1"/>
  <c r="J12" i="8"/>
  <c r="I7" i="16" s="1"/>
  <c r="J11" i="8"/>
  <c r="I6" i="16" s="1"/>
  <c r="J10" i="8"/>
  <c r="I5" i="16" s="1"/>
  <c r="J9" i="8"/>
  <c r="I3" i="16" l="1"/>
  <c r="K9" i="8"/>
  <c r="I4" i="16"/>
  <c r="J1" i="16"/>
  <c r="D3" i="16" l="1"/>
  <c r="D4" i="16"/>
  <c r="D15" i="16"/>
  <c r="F15" i="16" s="1"/>
  <c r="D5" i="16"/>
  <c r="D7" i="16"/>
  <c r="J15" i="16"/>
  <c r="D6" i="16"/>
  <c r="J3" i="16"/>
  <c r="J4" i="16"/>
  <c r="J5" i="16"/>
  <c r="J7" i="16"/>
  <c r="J6" i="16"/>
  <c r="F3" i="16" l="1"/>
  <c r="E3" i="16"/>
  <c r="G3" i="16" s="1"/>
  <c r="F6" i="16"/>
  <c r="E6" i="16"/>
  <c r="G6" i="16" s="1"/>
  <c r="F5" i="16"/>
  <c r="E5" i="16"/>
  <c r="G5" i="16" s="1"/>
  <c r="F4" i="16"/>
  <c r="E4" i="16"/>
  <c r="G4" i="16" s="1"/>
  <c r="F7" i="16"/>
  <c r="E7" i="16"/>
  <c r="G7" i="16" s="1"/>
  <c r="I10" i="7" l="1"/>
  <c r="I11" i="7"/>
  <c r="I12" i="7"/>
  <c r="I13" i="7"/>
  <c r="I14" i="7"/>
  <c r="I15" i="7"/>
  <c r="I16" i="7"/>
  <c r="I17" i="7"/>
  <c r="I9" i="7"/>
  <c r="J6" i="7"/>
  <c r="H17" i="7" s="1"/>
  <c r="G14" i="10"/>
  <c r="G8" i="10"/>
  <c r="G12" i="10"/>
  <c r="G9" i="13"/>
  <c r="G10" i="13"/>
  <c r="G11" i="13"/>
  <c r="G12" i="13"/>
  <c r="G13" i="13"/>
  <c r="G14" i="13"/>
  <c r="G15" i="13"/>
  <c r="G15" i="6"/>
  <c r="J21" i="8" l="1"/>
  <c r="K21" i="8" s="1"/>
  <c r="J23" i="8"/>
  <c r="K23" i="8" s="1"/>
  <c r="J24" i="8"/>
  <c r="K24" i="8" s="1"/>
  <c r="K11" i="8"/>
  <c r="J22" i="8"/>
  <c r="K22" i="8" s="1"/>
  <c r="K10" i="8"/>
  <c r="J13" i="8"/>
  <c r="K12" i="8"/>
  <c r="J20" i="8"/>
  <c r="K20" i="8" s="1"/>
  <c r="J19" i="8"/>
  <c r="I14" i="16" s="1"/>
  <c r="J14" i="16" s="1"/>
  <c r="J18" i="8"/>
  <c r="I13" i="16" s="1"/>
  <c r="J13" i="16" s="1"/>
  <c r="J16" i="8"/>
  <c r="I11" i="16" s="1"/>
  <c r="D11" i="16" s="1"/>
  <c r="I12" i="16"/>
  <c r="D12" i="16" s="1"/>
  <c r="H15" i="7"/>
  <c r="H14" i="7"/>
  <c r="H16" i="7"/>
  <c r="H13" i="7"/>
  <c r="H10" i="7"/>
  <c r="H8" i="7"/>
  <c r="I8" i="7" s="1"/>
  <c r="H12" i="7"/>
  <c r="H11" i="7"/>
  <c r="H9" i="7"/>
  <c r="G9" i="10"/>
  <c r="E12" i="16" l="1"/>
  <c r="G12" i="16" s="1"/>
  <c r="F12" i="16"/>
  <c r="E11" i="16"/>
  <c r="G11" i="16" s="1"/>
  <c r="J12" i="16"/>
  <c r="J11" i="16"/>
  <c r="F11" i="16"/>
  <c r="K15" i="8"/>
  <c r="I10" i="16"/>
  <c r="K14" i="8"/>
  <c r="I9" i="16"/>
  <c r="K13" i="8"/>
  <c r="I8" i="16"/>
  <c r="K18" i="8"/>
  <c r="K17" i="8"/>
  <c r="K19" i="8"/>
  <c r="K16" i="8"/>
  <c r="H9" i="12"/>
  <c r="H10" i="12"/>
  <c r="H11" i="12"/>
  <c r="H12" i="12"/>
  <c r="H13" i="12"/>
  <c r="H14" i="12"/>
  <c r="H8" i="12"/>
  <c r="D10" i="16" l="1"/>
  <c r="E10" i="16" s="1"/>
  <c r="J10" i="16"/>
  <c r="D9" i="16"/>
  <c r="E9" i="16" s="1"/>
  <c r="J9" i="16"/>
  <c r="D8" i="16"/>
  <c r="E8" i="16" s="1"/>
  <c r="J8" i="16"/>
  <c r="K30" i="8"/>
  <c r="D16" i="5" s="1"/>
  <c r="F16" i="5" s="1"/>
  <c r="D29" i="5" s="1"/>
  <c r="G11" i="6"/>
  <c r="F8" i="16" l="1"/>
  <c r="G8" i="16"/>
  <c r="F9" i="16"/>
  <c r="G9" i="16"/>
  <c r="F10" i="16"/>
  <c r="G10" i="16"/>
  <c r="G14" i="6"/>
  <c r="F18" i="16" l="1"/>
  <c r="G18" i="16"/>
  <c r="G13" i="6"/>
  <c r="G12" i="6"/>
  <c r="G20" i="6" l="1"/>
  <c r="G10" i="12"/>
  <c r="G9" i="12"/>
  <c r="G10" i="6" l="1"/>
  <c r="G9" i="6"/>
  <c r="G8" i="6" l="1"/>
  <c r="G9" i="11" l="1"/>
  <c r="G10" i="11"/>
  <c r="G11" i="11"/>
  <c r="G12" i="11"/>
  <c r="G8" i="11"/>
  <c r="G8" i="13"/>
  <c r="G13" i="10"/>
  <c r="G13" i="12"/>
  <c r="G14" i="12"/>
  <c r="I20" i="7"/>
  <c r="G14" i="11" l="1"/>
  <c r="D17" i="5" s="1"/>
  <c r="G10" i="10" l="1"/>
  <c r="G12" i="12"/>
  <c r="G11" i="12"/>
  <c r="G8" i="12"/>
  <c r="G11" i="10"/>
  <c r="F17" i="5"/>
  <c r="D31" i="5" s="1"/>
  <c r="G17" i="5" l="1"/>
  <c r="G16" i="10"/>
  <c r="I22" i="7"/>
  <c r="G17" i="12"/>
  <c r="D18" i="5" s="1"/>
  <c r="F18" i="5" s="1"/>
  <c r="G18" i="5" s="1"/>
  <c r="G18" i="13"/>
  <c r="D13" i="5"/>
  <c r="D15" i="5" l="1"/>
  <c r="F15" i="5" s="1"/>
  <c r="F29" i="5" s="1"/>
  <c r="F33" i="5" s="1"/>
  <c r="D19" i="5"/>
  <c r="F19" i="5" s="1"/>
  <c r="D14" i="5"/>
  <c r="G16" i="5"/>
  <c r="F13" i="5"/>
  <c r="I13" i="5" l="1"/>
  <c r="D30" i="5"/>
  <c r="E30" i="5" s="1"/>
  <c r="E31" i="5"/>
  <c r="G13" i="5"/>
  <c r="F14" i="5"/>
  <c r="F22" i="5" s="1"/>
  <c r="D22" i="5"/>
  <c r="G19" i="5"/>
  <c r="G15" i="5"/>
  <c r="E33" i="5" l="1"/>
  <c r="D33" i="5"/>
  <c r="E22" i="5"/>
  <c r="G14" i="5"/>
  <c r="G22" i="5" s="1"/>
  <c r="F24" i="5" l="1"/>
</calcChain>
</file>

<file path=xl/sharedStrings.xml><?xml version="1.0" encoding="utf-8"?>
<sst xmlns="http://schemas.openxmlformats.org/spreadsheetml/2006/main" count="331" uniqueCount="192">
  <si>
    <t>Montaje</t>
  </si>
  <si>
    <t>Flete</t>
  </si>
  <si>
    <t>Manufactura</t>
  </si>
  <si>
    <t>PLAN DE COMPRAS PRELIMINAR</t>
  </si>
  <si>
    <t>ITEM</t>
  </si>
  <si>
    <t>RESUMEN DE COSTOS</t>
  </si>
  <si>
    <t>COSTO TOTAL</t>
  </si>
  <si>
    <t>MARGEN</t>
  </si>
  <si>
    <t>PRECIO</t>
  </si>
  <si>
    <t>Ingeniería y planificación</t>
  </si>
  <si>
    <t>Equipos</t>
  </si>
  <si>
    <t>Otros: Viajes, visitas a terreno, levantamientos</t>
  </si>
  <si>
    <t>DESCRIPCIÓN</t>
  </si>
  <si>
    <t>Ingeniería y Planificación</t>
  </si>
  <si>
    <t>CANTIDAD</t>
  </si>
  <si>
    <t>COSTO UNIT.</t>
  </si>
  <si>
    <t xml:space="preserve">COSTO </t>
  </si>
  <si>
    <t>UNIDAD</t>
  </si>
  <si>
    <t>HH</t>
  </si>
  <si>
    <t>C/U</t>
  </si>
  <si>
    <t>Otros</t>
  </si>
  <si>
    <t>COSTO</t>
  </si>
  <si>
    <t>COSTO UNIT</t>
  </si>
  <si>
    <t>PRECIO OFERTA PROYECTO</t>
  </si>
  <si>
    <t>5.0</t>
  </si>
  <si>
    <t>Montaje y Puesta en Marcha</t>
  </si>
  <si>
    <t>PESO TOTAL</t>
  </si>
  <si>
    <t>ATRÁS (Resumen General)</t>
  </si>
  <si>
    <t>Integración Eléctrica</t>
  </si>
  <si>
    <t>1.1</t>
  </si>
  <si>
    <t>1.2</t>
  </si>
  <si>
    <t>1.4</t>
  </si>
  <si>
    <t>1.5</t>
  </si>
  <si>
    <t>1.7</t>
  </si>
  <si>
    <t>1.8</t>
  </si>
  <si>
    <t>1.9</t>
  </si>
  <si>
    <t>1.10</t>
  </si>
  <si>
    <t>2.01</t>
  </si>
  <si>
    <t>2.02</t>
  </si>
  <si>
    <t>2.03</t>
  </si>
  <si>
    <t>2.04</t>
  </si>
  <si>
    <t>2.05</t>
  </si>
  <si>
    <t>2.06</t>
  </si>
  <si>
    <t>2.07</t>
  </si>
  <si>
    <t>2.08</t>
  </si>
  <si>
    <t>2.09</t>
  </si>
  <si>
    <t>2.10</t>
  </si>
  <si>
    <t>3.01</t>
  </si>
  <si>
    <t>3.02</t>
  </si>
  <si>
    <t>3.03</t>
  </si>
  <si>
    <t>3.04</t>
  </si>
  <si>
    <t>3.05</t>
  </si>
  <si>
    <t>4.05</t>
  </si>
  <si>
    <t>4.06</t>
  </si>
  <si>
    <t>4.07</t>
  </si>
  <si>
    <t>4.08</t>
  </si>
  <si>
    <t>5.01</t>
  </si>
  <si>
    <t>5.02</t>
  </si>
  <si>
    <t>5.03</t>
  </si>
  <si>
    <t>5.04</t>
  </si>
  <si>
    <t>5.05</t>
  </si>
  <si>
    <t>6.01</t>
  </si>
  <si>
    <t>6.02</t>
  </si>
  <si>
    <t>6.03</t>
  </si>
  <si>
    <t>6.04</t>
  </si>
  <si>
    <t>6.05</t>
  </si>
  <si>
    <t>7.01</t>
  </si>
  <si>
    <t>7.02</t>
  </si>
  <si>
    <t>7.03</t>
  </si>
  <si>
    <t>7.04</t>
  </si>
  <si>
    <t>7.05</t>
  </si>
  <si>
    <t>Alimentación</t>
  </si>
  <si>
    <t>Combustible</t>
  </si>
  <si>
    <t>CLIENTE:</t>
  </si>
  <si>
    <t>NRO DE OFERTA:</t>
  </si>
  <si>
    <t>NOMBRE DE PROYECTO:</t>
  </si>
  <si>
    <t>Estadia</t>
  </si>
  <si>
    <t>CU</t>
  </si>
  <si>
    <t>6.06</t>
  </si>
  <si>
    <t>6.07</t>
  </si>
  <si>
    <t>MLFB</t>
  </si>
  <si>
    <t>CÓDIGO</t>
  </si>
  <si>
    <t>Gal</t>
  </si>
  <si>
    <t>COSTO $ TOTAL</t>
  </si>
  <si>
    <t>cambio usd</t>
  </si>
  <si>
    <t>Mano de obra general</t>
  </si>
  <si>
    <t>Alza hombre articulado</t>
  </si>
  <si>
    <t>Materiales de montaje</t>
  </si>
  <si>
    <t>Materiales de integración</t>
  </si>
  <si>
    <t>cu</t>
  </si>
  <si>
    <t>4.01</t>
  </si>
  <si>
    <t>4.02</t>
  </si>
  <si>
    <t>Montaje mecánico (Marcos Muñoz)</t>
  </si>
  <si>
    <t>4.03</t>
  </si>
  <si>
    <t>4.04</t>
  </si>
  <si>
    <t>USD</t>
  </si>
  <si>
    <t>3.06</t>
  </si>
  <si>
    <t>Arriendo vehiculo</t>
  </si>
  <si>
    <t>Pasajes Avion (incl. Transfer)</t>
  </si>
  <si>
    <t>7.06</t>
  </si>
  <si>
    <t>EPP</t>
  </si>
  <si>
    <t>HH Ingeniero PCS7</t>
  </si>
  <si>
    <t>PRECIO USD</t>
  </si>
  <si>
    <t>HH UF</t>
  </si>
  <si>
    <t>UF</t>
  </si>
  <si>
    <t>Dólar</t>
  </si>
  <si>
    <t>7.07</t>
  </si>
  <si>
    <t>Arriendo Departamento (Anual)</t>
  </si>
  <si>
    <t>Adicionales</t>
  </si>
  <si>
    <t>Costos de Equipos</t>
  </si>
  <si>
    <t>Programación y Puesta en Marcha</t>
  </si>
  <si>
    <t>COSTO UNIT USD</t>
  </si>
  <si>
    <t>COSTO UNIT CLP</t>
  </si>
  <si>
    <t>COSTO UNIT. CLP</t>
  </si>
  <si>
    <t>HH Ingeniero SCADA</t>
  </si>
  <si>
    <t xml:space="preserve">HH Ingeniero PLC </t>
  </si>
  <si>
    <t>Logística</t>
  </si>
  <si>
    <t>Total</t>
  </si>
  <si>
    <t>Solo P&amp;PEM</t>
  </si>
  <si>
    <t>Solo Equipos</t>
  </si>
  <si>
    <t>4.09</t>
  </si>
  <si>
    <t>4.10</t>
  </si>
  <si>
    <t>4.11</t>
  </si>
  <si>
    <t>ZF</t>
  </si>
  <si>
    <t>X3</t>
  </si>
  <si>
    <t>4.12</t>
  </si>
  <si>
    <t>4.13</t>
  </si>
  <si>
    <t>4.14</t>
  </si>
  <si>
    <t>4.15</t>
  </si>
  <si>
    <t>ZG</t>
  </si>
  <si>
    <t>Grupo</t>
  </si>
  <si>
    <t>Descuento</t>
  </si>
  <si>
    <t>X1</t>
  </si>
  <si>
    <t>41%</t>
  </si>
  <si>
    <t>X4</t>
  </si>
  <si>
    <t>44%</t>
  </si>
  <si>
    <t>XD</t>
  </si>
  <si>
    <t>61%</t>
  </si>
  <si>
    <t>XG</t>
  </si>
  <si>
    <t>55%</t>
  </si>
  <si>
    <t>1¿</t>
  </si>
  <si>
    <t>4¿</t>
  </si>
  <si>
    <t>52%</t>
  </si>
  <si>
    <t>2¿</t>
  </si>
  <si>
    <t>Ítem</t>
  </si>
  <si>
    <t>Cantidad</t>
  </si>
  <si>
    <t>Total Implementación</t>
  </si>
  <si>
    <t>Por evento</t>
  </si>
  <si>
    <t>DESCUENTO</t>
  </si>
  <si>
    <t>LISTA</t>
  </si>
  <si>
    <t xml:space="preserve"> </t>
  </si>
  <si>
    <t>HH PEM Ingeniero</t>
  </si>
  <si>
    <t>TERRENO: 1 Semana - 2 personas</t>
  </si>
  <si>
    <t>4.16</t>
  </si>
  <si>
    <t>4.17</t>
  </si>
  <si>
    <t>Margen</t>
  </si>
  <si>
    <t>Shipping</t>
  </si>
  <si>
    <t>N°</t>
  </si>
  <si>
    <t>CANT.</t>
  </si>
  <si>
    <t>Sin Shipping</t>
  </si>
  <si>
    <t>VALOR VENTA</t>
  </si>
  <si>
    <t>YC</t>
  </si>
  <si>
    <t>CMP</t>
  </si>
  <si>
    <t>C/U c/s</t>
  </si>
  <si>
    <t>AZA</t>
  </si>
  <si>
    <t>6SL3210-1PE33-7AL0</t>
  </si>
  <si>
    <t>SINAMICS PM240-2 IP20 FSG A 3AC 380-480V 200.00kW</t>
  </si>
  <si>
    <t>6SL3255-0AA00-4JA2</t>
  </si>
  <si>
    <t>Intelligent Operator Panel IOP-2</t>
  </si>
  <si>
    <t>6SL3244-0BB12-1PA1</t>
  </si>
  <si>
    <t>SINAMICS CU240E-2 DP</t>
  </si>
  <si>
    <t>6SL3256-0AP00-0JA0</t>
  </si>
  <si>
    <t>Door mounting kit for IOP-2/BOP-2 incl. 5m connecting cable</t>
  </si>
  <si>
    <t>3NA3260</t>
  </si>
  <si>
    <t>LV HRC fuse link, NH2 400A AC 500V/ DC 440V</t>
  </si>
  <si>
    <t>3RT1076-6AP36</t>
  </si>
  <si>
    <t>CONTACTOR, 250KW/400V/AC-3</t>
  </si>
  <si>
    <t>4 días en el armado del tablero teniendo los materiales y planos</t>
  </si>
  <si>
    <t>fungibles</t>
  </si>
  <si>
    <t>HH Planimetria</t>
  </si>
  <si>
    <t>HH Integracion Tecnico</t>
  </si>
  <si>
    <t>4 dias Integracion</t>
  </si>
  <si>
    <t>HH FAT</t>
  </si>
  <si>
    <t>-</t>
  </si>
  <si>
    <t>2 Semanas programacion PLC+SCADA</t>
  </si>
  <si>
    <t>4 dias en terreno</t>
  </si>
  <si>
    <t>1 Dia FAT</t>
  </si>
  <si>
    <t>101-2026</t>
  </si>
  <si>
    <t>3 Dias planimetria</t>
  </si>
  <si>
    <t>Integracion</t>
  </si>
  <si>
    <t>Fungibles</t>
  </si>
  <si>
    <t xml:space="preserve"> TABLERO AUTOSOPORTADO METALICA 
2000X1200X800MM IP55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</si>
</sst>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 &quot;$&quot;* #,##0_ ;_ &quot;$&quot;* \-#,##0_ ;_ &quot;$&quot;* &quot;-&quot;_ ;_ @_ "/>
    <numFmt numFmtId="43" formatCode="_ * #,##0.00_ ;_ * \-#,##0.00_ ;_ * &quot;-&quot;??_ ;_ @_ "/>
    <numFmt numFmtId="164" formatCode="&quot;$&quot;\ #,##0;\-&quot;$&quot;\ #,##0"/>
    <numFmt numFmtId="165" formatCode="_-&quot;$&quot;\ * #,##0.00_-;\-&quot;$&quot;\ * #,##0.00_-;_-&quot;$&quot;\ * &quot;-&quot;??_-;_-@_-"/>
    <numFmt numFmtId="166" formatCode="_-* #,##0.00_-;\-* #,##0.00_-;_-* &quot;-&quot;??_-;_-@_-"/>
    <numFmt numFmtId="167" formatCode="0.0"/>
    <numFmt numFmtId="168" formatCode="_-&quot;$&quot;\ * #,##0_-;\-&quot;$&quot;\ * #,##0_-;_-&quot;$&quot;\ * &quot;-&quot;??_-;_-@_-"/>
    <numFmt numFmtId="169" formatCode="_-* #,##0.00\ _€_-;\-* #,##0.00\ _€_-;_-* &quot;-&quot;??\ _€_-;_-@_-"/>
    <numFmt numFmtId="170" formatCode="_-* #,##0_-;\-* #,##0_-;_-* &quot;-&quot;??_-;_-@_-"/>
    <numFmt numFmtId="171" formatCode="#,##0.00_ ;\-#,##0.00\ "/>
    <numFmt numFmtId="172" formatCode="_ &quot;$&quot;* #,##0.00_ ;_ &quot;$&quot;* \-#,##0.00_ ;_ &quot;$&quot;* &quot;-&quot;_ ;_ @_ "/>
  </numFmts>
  <fonts count="4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b/>
      <sz val="12"/>
      <name val="Calibri"/>
      <family val="2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0"/>
      <name val="Helv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2"/>
      <name val="宋体"/>
      <family val="3"/>
      <charset val="136"/>
    </font>
    <font>
      <sz val="12"/>
      <color theme="1"/>
      <name val="Calibri"/>
      <family val="1"/>
      <charset val="136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D9D9D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62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166" fontId="15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0" fontId="16" fillId="0" borderId="0"/>
    <xf numFmtId="9" fontId="10" fillId="0" borderId="0" applyFont="0" applyFill="0" applyBorder="0" applyAlignment="0" applyProtection="0"/>
    <xf numFmtId="42" fontId="1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6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22" borderId="0" applyNumberFormat="0" applyBorder="0" applyAlignment="0" applyProtection="0"/>
    <xf numFmtId="0" fontId="22" fillId="6" borderId="0" applyNumberFormat="0" applyBorder="0" applyAlignment="0" applyProtection="0"/>
    <xf numFmtId="0" fontId="23" fillId="23" borderId="10" applyNumberFormat="0" applyAlignment="0" applyProtection="0"/>
    <xf numFmtId="0" fontId="24" fillId="24" borderId="11" applyNumberFormat="0" applyAlignment="0" applyProtection="0"/>
    <xf numFmtId="0" fontId="25" fillId="0" borderId="0" applyNumberFormat="0" applyFill="0" applyBorder="0" applyAlignment="0" applyProtection="0"/>
    <xf numFmtId="0" fontId="26" fillId="7" borderId="0" applyNumberFormat="0" applyBorder="0" applyAlignment="0" applyProtection="0"/>
    <xf numFmtId="0" fontId="27" fillId="0" borderId="12" applyNumberFormat="0" applyFill="0" applyAlignment="0" applyProtection="0"/>
    <xf numFmtId="0" fontId="28" fillId="0" borderId="13" applyNumberFormat="0" applyFill="0" applyAlignment="0" applyProtection="0"/>
    <xf numFmtId="0" fontId="29" fillId="0" borderId="14" applyNumberFormat="0" applyFill="0" applyAlignment="0" applyProtection="0"/>
    <xf numFmtId="0" fontId="29" fillId="0" borderId="0" applyNumberFormat="0" applyFill="0" applyBorder="0" applyAlignment="0" applyProtection="0"/>
    <xf numFmtId="0" fontId="30" fillId="10" borderId="10" applyNumberFormat="0" applyAlignment="0" applyProtection="0"/>
    <xf numFmtId="0" fontId="31" fillId="0" borderId="15" applyNumberFormat="0" applyFill="0" applyAlignment="0" applyProtection="0"/>
    <xf numFmtId="0" fontId="32" fillId="25" borderId="0" applyNumberFormat="0" applyBorder="0" applyAlignment="0" applyProtection="0"/>
    <xf numFmtId="0" fontId="3" fillId="26" borderId="16" applyNumberFormat="0" applyFont="0" applyAlignment="0" applyProtection="0"/>
    <xf numFmtId="0" fontId="33" fillId="23" borderId="17" applyNumberFormat="0" applyAlignment="0" applyProtection="0"/>
    <xf numFmtId="0" fontId="20" fillId="0" borderId="0"/>
    <xf numFmtId="0" fontId="34" fillId="0" borderId="0" applyNumberFormat="0" applyFill="0" applyBorder="0" applyAlignment="0" applyProtection="0"/>
    <xf numFmtId="0" fontId="6" fillId="0" borderId="18" applyNumberFormat="0" applyFill="0" applyAlignment="0" applyProtection="0"/>
    <xf numFmtId="0" fontId="35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26" fillId="7" borderId="0" applyNumberFormat="0" applyBorder="0" applyAlignment="0" applyProtection="0"/>
    <xf numFmtId="0" fontId="36" fillId="0" borderId="0"/>
    <xf numFmtId="0" fontId="20" fillId="0" borderId="0"/>
    <xf numFmtId="0" fontId="22" fillId="6" borderId="0" applyNumberFormat="0" applyBorder="0" applyAlignment="0" applyProtection="0"/>
    <xf numFmtId="0" fontId="37" fillId="0" borderId="0">
      <alignment vertical="center"/>
    </xf>
  </cellStyleXfs>
  <cellXfs count="132">
    <xf numFmtId="0" fontId="0" fillId="0" borderId="0" xfId="0"/>
    <xf numFmtId="0" fontId="5" fillId="2" borderId="1" xfId="4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2" borderId="1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right" vertical="center" wrapText="1"/>
    </xf>
    <xf numFmtId="0" fontId="11" fillId="0" borderId="0" xfId="0" applyFont="1"/>
    <xf numFmtId="0" fontId="4" fillId="0" borderId="0" xfId="4" applyFont="1" applyAlignment="1">
      <alignment horizontal="left" vertical="center" wrapText="1"/>
    </xf>
    <xf numFmtId="167" fontId="0" fillId="0" borderId="0" xfId="0" applyNumberFormat="1" applyAlignment="1">
      <alignment horizontal="center"/>
    </xf>
    <xf numFmtId="0" fontId="4" fillId="0" borderId="0" xfId="4" applyFont="1" applyAlignment="1">
      <alignment horizontal="left" vertical="center"/>
    </xf>
    <xf numFmtId="0" fontId="6" fillId="2" borderId="1" xfId="4" applyFont="1" applyFill="1" applyBorder="1" applyAlignment="1">
      <alignment horizontal="center" vertical="center"/>
    </xf>
    <xf numFmtId="0" fontId="6" fillId="2" borderId="1" xfId="4" applyFont="1" applyFill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13" fillId="0" borderId="0" xfId="0" applyFont="1"/>
    <xf numFmtId="0" fontId="12" fillId="0" borderId="0" xfId="4" applyFont="1" applyAlignment="1">
      <alignment horizontal="center" vertical="center" wrapText="1"/>
    </xf>
    <xf numFmtId="0" fontId="12" fillId="0" borderId="0" xfId="4" applyFont="1" applyAlignment="1">
      <alignment vertical="center" wrapText="1"/>
    </xf>
    <xf numFmtId="167" fontId="12" fillId="0" borderId="0" xfId="4" applyNumberFormat="1" applyFont="1" applyAlignment="1">
      <alignment horizontal="center" vertical="center"/>
    </xf>
    <xf numFmtId="0" fontId="12" fillId="0" borderId="0" xfId="4" applyFont="1" applyAlignment="1">
      <alignment horizontal="left" vertical="center"/>
    </xf>
    <xf numFmtId="0" fontId="12" fillId="0" borderId="0" xfId="4" applyFont="1" applyAlignment="1">
      <alignment horizontal="center" vertical="center"/>
    </xf>
    <xf numFmtId="0" fontId="7" fillId="0" borderId="0" xfId="4" applyFont="1" applyAlignment="1">
      <alignment horizontal="center" vertical="center"/>
    </xf>
    <xf numFmtId="0" fontId="7" fillId="0" borderId="0" xfId="4" applyFont="1" applyAlignment="1">
      <alignment horizontal="left" vertic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168" fontId="8" fillId="0" borderId="0" xfId="3" applyNumberFormat="1" applyFont="1" applyAlignment="1">
      <alignment horizontal="center"/>
    </xf>
    <xf numFmtId="168" fontId="8" fillId="0" borderId="0" xfId="0" applyNumberFormat="1" applyFont="1" applyAlignment="1">
      <alignment horizontal="center"/>
    </xf>
    <xf numFmtId="168" fontId="0" fillId="0" borderId="0" xfId="3" applyNumberFormat="1" applyFont="1"/>
    <xf numFmtId="0" fontId="14" fillId="0" borderId="0" xfId="1" applyAlignment="1" applyProtection="1"/>
    <xf numFmtId="9" fontId="0" fillId="0" borderId="0" xfId="6" applyFont="1"/>
    <xf numFmtId="168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168" fontId="2" fillId="0" borderId="0" xfId="3" applyNumberFormat="1" applyFont="1" applyAlignment="1">
      <alignment horizontal="center"/>
    </xf>
    <xf numFmtId="166" fontId="0" fillId="0" borderId="0" xfId="2" applyFont="1"/>
    <xf numFmtId="169" fontId="0" fillId="0" borderId="0" xfId="0" applyNumberFormat="1"/>
    <xf numFmtId="170" fontId="8" fillId="0" borderId="0" xfId="2" applyNumberFormat="1" applyFont="1" applyAlignment="1">
      <alignment horizontal="center"/>
    </xf>
    <xf numFmtId="170" fontId="0" fillId="0" borderId="0" xfId="0" applyNumberFormat="1"/>
    <xf numFmtId="168" fontId="5" fillId="3" borderId="3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168" fontId="1" fillId="0" borderId="0" xfId="3" applyNumberFormat="1" applyFont="1" applyAlignment="1">
      <alignment horizontal="center"/>
    </xf>
    <xf numFmtId="0" fontId="0" fillId="0" borderId="0" xfId="0" applyAlignment="1">
      <alignment horizontal="right"/>
    </xf>
    <xf numFmtId="0" fontId="5" fillId="3" borderId="4" xfId="0" applyFont="1" applyFill="1" applyBorder="1" applyAlignment="1">
      <alignment horizontal="left" wrapText="1"/>
    </xf>
    <xf numFmtId="0" fontId="5" fillId="3" borderId="5" xfId="0" applyFont="1" applyFill="1" applyBorder="1" applyAlignment="1">
      <alignment horizontal="left" wrapText="1"/>
    </xf>
    <xf numFmtId="164" fontId="8" fillId="0" borderId="0" xfId="3" applyNumberFormat="1" applyFont="1" applyAlignment="1">
      <alignment horizontal="center"/>
    </xf>
    <xf numFmtId="164" fontId="1" fillId="0" borderId="0" xfId="3" applyNumberFormat="1" applyFont="1" applyAlignment="1">
      <alignment horizontal="center"/>
    </xf>
    <xf numFmtId="164" fontId="2" fillId="0" borderId="0" xfId="3" applyNumberFormat="1" applyFont="1" applyAlignment="1">
      <alignment horizontal="center"/>
    </xf>
    <xf numFmtId="0" fontId="17" fillId="0" borderId="0" xfId="0" applyFont="1"/>
    <xf numFmtId="9" fontId="5" fillId="3" borderId="6" xfId="6" applyFont="1" applyFill="1" applyBorder="1" applyAlignment="1">
      <alignment horizontal="right" wrapText="1"/>
    </xf>
    <xf numFmtId="0" fontId="4" fillId="0" borderId="0" xfId="4" applyFont="1" applyAlignment="1">
      <alignment vertical="center" wrapText="1"/>
    </xf>
    <xf numFmtId="42" fontId="17" fillId="0" borderId="0" xfId="7" applyFont="1"/>
    <xf numFmtId="0" fontId="6" fillId="2" borderId="4" xfId="4" applyFont="1" applyFill="1" applyBorder="1" applyAlignment="1">
      <alignment horizontal="center" vertical="center"/>
    </xf>
    <xf numFmtId="0" fontId="6" fillId="2" borderId="5" xfId="4" applyFont="1" applyFill="1" applyBorder="1" applyAlignment="1">
      <alignment horizontal="center" vertical="center"/>
    </xf>
    <xf numFmtId="0" fontId="6" fillId="0" borderId="5" xfId="4" applyFont="1" applyBorder="1" applyAlignment="1">
      <alignment horizontal="center" vertical="center"/>
    </xf>
    <xf numFmtId="0" fontId="6" fillId="0" borderId="5" xfId="4" applyFont="1" applyBorder="1" applyAlignment="1">
      <alignment horizontal="center"/>
    </xf>
    <xf numFmtId="0" fontId="6" fillId="2" borderId="5" xfId="4" applyFont="1" applyFill="1" applyBorder="1" applyAlignment="1">
      <alignment horizontal="center"/>
    </xf>
    <xf numFmtId="9" fontId="0" fillId="0" borderId="0" xfId="0" applyNumberFormat="1"/>
    <xf numFmtId="0" fontId="12" fillId="0" borderId="0" xfId="4" applyFont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6" xfId="0" applyBorder="1"/>
    <xf numFmtId="171" fontId="0" fillId="0" borderId="0" xfId="0" applyNumberFormat="1"/>
    <xf numFmtId="164" fontId="0" fillId="0" borderId="0" xfId="0" applyNumberFormat="1"/>
    <xf numFmtId="164" fontId="8" fillId="0" borderId="0" xfId="3" applyNumberFormat="1" applyFont="1" applyAlignment="1"/>
    <xf numFmtId="0" fontId="2" fillId="4" borderId="0" xfId="0" applyFont="1" applyFill="1" applyAlignment="1">
      <alignment horizontal="right"/>
    </xf>
    <xf numFmtId="42" fontId="0" fillId="0" borderId="0" xfId="7" applyFont="1"/>
    <xf numFmtId="0" fontId="7" fillId="4" borderId="0" xfId="4" applyFont="1" applyFill="1" applyAlignment="1">
      <alignment horizontal="center" vertic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168" fontId="2" fillId="4" borderId="0" xfId="3" applyNumberFormat="1" applyFont="1" applyFill="1" applyAlignment="1">
      <alignment horizontal="center"/>
    </xf>
    <xf numFmtId="164" fontId="2" fillId="4" borderId="0" xfId="3" applyNumberFormat="1" applyFont="1" applyFill="1" applyAlignment="1">
      <alignment horizontal="center"/>
    </xf>
    <xf numFmtId="42" fontId="17" fillId="4" borderId="0" xfId="7" applyFont="1" applyFill="1"/>
    <xf numFmtId="42" fontId="0" fillId="4" borderId="0" xfId="0" applyNumberFormat="1" applyFill="1"/>
    <xf numFmtId="42" fontId="17" fillId="0" borderId="0" xfId="0" applyNumberFormat="1" applyFont="1"/>
    <xf numFmtId="42" fontId="8" fillId="0" borderId="0" xfId="7" applyFont="1" applyAlignment="1">
      <alignment horizontal="center"/>
    </xf>
    <xf numFmtId="9" fontId="0" fillId="4" borderId="0" xfId="6" applyFont="1" applyFill="1"/>
    <xf numFmtId="168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165" fontId="0" fillId="4" borderId="0" xfId="0" applyNumberFormat="1" applyFill="1"/>
    <xf numFmtId="168" fontId="0" fillId="0" borderId="0" xfId="7" applyNumberFormat="1" applyFont="1"/>
    <xf numFmtId="168" fontId="0" fillId="4" borderId="0" xfId="0" applyNumberFormat="1" applyFill="1"/>
    <xf numFmtId="0" fontId="38" fillId="0" borderId="19" xfId="0" applyFont="1" applyBorder="1" applyAlignment="1">
      <alignment vertical="center"/>
    </xf>
    <xf numFmtId="0" fontId="39" fillId="27" borderId="0" xfId="0" applyFont="1" applyFill="1" applyAlignment="1">
      <alignment horizontal="center" vertical="center"/>
    </xf>
    <xf numFmtId="0" fontId="39" fillId="0" borderId="0" xfId="0" applyFont="1" applyAlignment="1">
      <alignment horizontal="center" vertical="center"/>
    </xf>
    <xf numFmtId="42" fontId="0" fillId="0" borderId="0" xfId="7" applyFont="1" applyFill="1"/>
    <xf numFmtId="168" fontId="8" fillId="0" borderId="0" xfId="3" applyNumberFormat="1" applyFont="1" applyFill="1" applyBorder="1" applyAlignment="1">
      <alignment horizontal="center"/>
    </xf>
    <xf numFmtId="0" fontId="0" fillId="4" borderId="0" xfId="0" applyFill="1"/>
    <xf numFmtId="0" fontId="40" fillId="0" borderId="0" xfId="0" applyFont="1"/>
    <xf numFmtId="0" fontId="40" fillId="0" borderId="0" xfId="0" applyFont="1" applyAlignment="1">
      <alignment horizontal="center"/>
    </xf>
    <xf numFmtId="42" fontId="0" fillId="0" borderId="0" xfId="0" applyNumberFormat="1"/>
    <xf numFmtId="42" fontId="40" fillId="0" borderId="0" xfId="0" applyNumberFormat="1" applyFont="1"/>
    <xf numFmtId="0" fontId="38" fillId="0" borderId="19" xfId="0" applyFont="1" applyBorder="1" applyAlignment="1">
      <alignment horizontal="center" vertical="center"/>
    </xf>
    <xf numFmtId="0" fontId="40" fillId="0" borderId="0" xfId="0" applyFont="1" applyAlignment="1">
      <alignment horizontal="left"/>
    </xf>
    <xf numFmtId="0" fontId="0" fillId="0" borderId="20" xfId="0" applyBorder="1" applyAlignment="1">
      <alignment horizontal="center"/>
    </xf>
    <xf numFmtId="9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40" fillId="0" borderId="0" xfId="0" applyFont="1" applyAlignment="1">
      <alignment horizontal="center" vertical="center"/>
    </xf>
    <xf numFmtId="42" fontId="40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168" fontId="8" fillId="0" borderId="0" xfId="3" applyNumberFormat="1" applyFont="1" applyFill="1" applyBorder="1" applyAlignment="1">
      <alignment horizontal="center" vertical="center"/>
    </xf>
    <xf numFmtId="42" fontId="0" fillId="0" borderId="0" xfId="0" applyNumberFormat="1" applyAlignment="1">
      <alignment horizontal="center"/>
    </xf>
    <xf numFmtId="172" fontId="40" fillId="0" borderId="0" xfId="7" applyNumberFormat="1" applyFont="1"/>
    <xf numFmtId="172" fontId="0" fillId="0" borderId="0" xfId="7" applyNumberFormat="1" applyFont="1" applyFill="1" applyAlignment="1">
      <alignment vertical="center"/>
    </xf>
    <xf numFmtId="0" fontId="0" fillId="0" borderId="0" xfId="0" applyAlignment="1">
      <alignment vertical="center"/>
    </xf>
    <xf numFmtId="168" fontId="0" fillId="0" borderId="0" xfId="0" applyNumberFormat="1" applyAlignment="1">
      <alignment vertical="center"/>
    </xf>
    <xf numFmtId="0" fontId="17" fillId="0" borderId="22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42" fontId="40" fillId="0" borderId="0" xfId="7" applyFont="1"/>
    <xf numFmtId="172" fontId="40" fillId="0" borderId="0" xfId="0" applyNumberFormat="1" applyFont="1"/>
    <xf numFmtId="0" fontId="40" fillId="4" borderId="0" xfId="0" applyFont="1" applyFill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41" fillId="0" borderId="0" xfId="0" applyFont="1"/>
    <xf numFmtId="168" fontId="1" fillId="0" borderId="0" xfId="3" applyNumberFormat="1" applyFont="1" applyFill="1" applyBorder="1" applyAlignment="1">
      <alignment horizontal="center" vertical="center" wrapText="1"/>
    </xf>
    <xf numFmtId="0" fontId="4" fillId="0" borderId="7" xfId="4" applyFont="1" applyBorder="1" applyAlignment="1">
      <alignment horizontal="right" vertical="center" wrapText="1"/>
    </xf>
    <xf numFmtId="0" fontId="4" fillId="0" borderId="2" xfId="4" applyFont="1" applyBorder="1" applyAlignment="1">
      <alignment horizontal="right" vertical="center" wrapText="1"/>
    </xf>
    <xf numFmtId="0" fontId="4" fillId="0" borderId="8" xfId="4" applyFont="1" applyBorder="1" applyAlignment="1">
      <alignment horizontal="right" vertical="center" wrapText="1"/>
    </xf>
    <xf numFmtId="0" fontId="4" fillId="0" borderId="9" xfId="4" applyFont="1" applyBorder="1" applyAlignment="1">
      <alignment horizontal="right" vertical="center" wrapText="1"/>
    </xf>
    <xf numFmtId="0" fontId="4" fillId="0" borderId="1" xfId="4" applyFont="1" applyBorder="1" applyAlignment="1">
      <alignment horizontal="left" vertical="center" wrapText="1"/>
    </xf>
    <xf numFmtId="0" fontId="12" fillId="0" borderId="4" xfId="4" applyFont="1" applyBorder="1" applyAlignment="1">
      <alignment horizontal="right" vertical="center" wrapText="1"/>
    </xf>
    <xf numFmtId="0" fontId="12" fillId="0" borderId="5" xfId="4" applyFont="1" applyBorder="1" applyAlignment="1">
      <alignment horizontal="right" vertical="center" wrapText="1"/>
    </xf>
    <xf numFmtId="0" fontId="12" fillId="0" borderId="6" xfId="4" applyFont="1" applyBorder="1" applyAlignment="1">
      <alignment horizontal="right" vertical="center" wrapText="1"/>
    </xf>
    <xf numFmtId="0" fontId="12" fillId="0" borderId="4" xfId="4" applyFont="1" applyBorder="1" applyAlignment="1">
      <alignment horizontal="center" vertical="center" wrapText="1"/>
    </xf>
    <xf numFmtId="0" fontId="12" fillId="0" borderId="5" xfId="4" applyFont="1" applyBorder="1" applyAlignment="1">
      <alignment horizontal="center" vertical="center" wrapText="1"/>
    </xf>
    <xf numFmtId="0" fontId="12" fillId="0" borderId="6" xfId="4" applyFont="1" applyBorder="1" applyAlignment="1">
      <alignment horizontal="center" vertical="center" wrapText="1"/>
    </xf>
    <xf numFmtId="0" fontId="38" fillId="0" borderId="19" xfId="0" applyFont="1" applyBorder="1" applyAlignment="1">
      <alignment horizontal="right" vertical="center"/>
    </xf>
  </cellXfs>
  <cellStyles count="62">
    <cellStyle name="????" xfId="13" xr:uid="{00000000-0005-0000-0000-000000000000}"/>
    <cellStyle name="20% - Accent1" xfId="14" xr:uid="{00000000-0005-0000-0000-000001000000}"/>
    <cellStyle name="20% - Accent2" xfId="15" xr:uid="{00000000-0005-0000-0000-000002000000}"/>
    <cellStyle name="20% - Accent3" xfId="16" xr:uid="{00000000-0005-0000-0000-000003000000}"/>
    <cellStyle name="20% - Accent4" xfId="17" xr:uid="{00000000-0005-0000-0000-000004000000}"/>
    <cellStyle name="20% - Accent5" xfId="18" xr:uid="{00000000-0005-0000-0000-000005000000}"/>
    <cellStyle name="20% - Accent6" xfId="19" xr:uid="{00000000-0005-0000-0000-000006000000}"/>
    <cellStyle name="40% - Accent1" xfId="20" xr:uid="{00000000-0005-0000-0000-000007000000}"/>
    <cellStyle name="40% - Accent2" xfId="21" xr:uid="{00000000-0005-0000-0000-000008000000}"/>
    <cellStyle name="40% - Accent3" xfId="22" xr:uid="{00000000-0005-0000-0000-000009000000}"/>
    <cellStyle name="40% - Accent4" xfId="23" xr:uid="{00000000-0005-0000-0000-00000A000000}"/>
    <cellStyle name="40% - Accent5" xfId="24" xr:uid="{00000000-0005-0000-0000-00000B000000}"/>
    <cellStyle name="40% - Accent6" xfId="25" xr:uid="{00000000-0005-0000-0000-00000C000000}"/>
    <cellStyle name="60% - Accent1" xfId="26" xr:uid="{00000000-0005-0000-0000-00000D000000}"/>
    <cellStyle name="60% - Accent2" xfId="27" xr:uid="{00000000-0005-0000-0000-00000E000000}"/>
    <cellStyle name="60% - Accent3" xfId="28" xr:uid="{00000000-0005-0000-0000-00000F000000}"/>
    <cellStyle name="60% - Accent4" xfId="29" xr:uid="{00000000-0005-0000-0000-000010000000}"/>
    <cellStyle name="60% - Accent5" xfId="30" xr:uid="{00000000-0005-0000-0000-000011000000}"/>
    <cellStyle name="60% - Accent6" xfId="31" xr:uid="{00000000-0005-0000-0000-000012000000}"/>
    <cellStyle name="Accent1" xfId="32" xr:uid="{00000000-0005-0000-0000-000013000000}"/>
    <cellStyle name="Accent2" xfId="33" xr:uid="{00000000-0005-0000-0000-000014000000}"/>
    <cellStyle name="Accent3" xfId="34" xr:uid="{00000000-0005-0000-0000-000015000000}"/>
    <cellStyle name="Accent4" xfId="35" xr:uid="{00000000-0005-0000-0000-000016000000}"/>
    <cellStyle name="Accent5" xfId="36" xr:uid="{00000000-0005-0000-0000-000017000000}"/>
    <cellStyle name="Accent6" xfId="37" xr:uid="{00000000-0005-0000-0000-000018000000}"/>
    <cellStyle name="Bad" xfId="38" xr:uid="{00000000-0005-0000-0000-000019000000}"/>
    <cellStyle name="Calculation" xfId="39" xr:uid="{00000000-0005-0000-0000-00001A000000}"/>
    <cellStyle name="Check Cell" xfId="40" xr:uid="{00000000-0005-0000-0000-00001B000000}"/>
    <cellStyle name="Explanatory Text" xfId="41" xr:uid="{00000000-0005-0000-0000-00001D000000}"/>
    <cellStyle name="Good" xfId="42" xr:uid="{00000000-0005-0000-0000-00001E000000}"/>
    <cellStyle name="Heading 1" xfId="43" xr:uid="{00000000-0005-0000-0000-00001F000000}"/>
    <cellStyle name="Heading 2" xfId="44" xr:uid="{00000000-0005-0000-0000-000020000000}"/>
    <cellStyle name="Heading 3" xfId="45" xr:uid="{00000000-0005-0000-0000-000021000000}"/>
    <cellStyle name="Heading 4" xfId="46" xr:uid="{00000000-0005-0000-0000-000022000000}"/>
    <cellStyle name="Hipervínculo" xfId="1" builtinId="8"/>
    <cellStyle name="Input" xfId="47" xr:uid="{00000000-0005-0000-0000-000023000000}"/>
    <cellStyle name="Linked Cell" xfId="48" xr:uid="{00000000-0005-0000-0000-000024000000}"/>
    <cellStyle name="Millares" xfId="2" builtinId="3"/>
    <cellStyle name="Millares 2" xfId="11" xr:uid="{00000000-0005-0000-0000-000053000000}"/>
    <cellStyle name="Moneda" xfId="3" builtinId="4"/>
    <cellStyle name="Moneda [0]" xfId="7" builtinId="7"/>
    <cellStyle name="Neutral 2" xfId="49" xr:uid="{00000000-0005-0000-0000-000025000000}"/>
    <cellStyle name="Normal" xfId="0" builtinId="0"/>
    <cellStyle name="Normal 2" xfId="4" xr:uid="{00000000-0005-0000-0000-000004000000}"/>
    <cellStyle name="Normal 2 2" xfId="8" xr:uid="{00000000-0005-0000-0000-000055000000}"/>
    <cellStyle name="Normal 2 2 2 2 2" xfId="5" xr:uid="{00000000-0005-0000-0000-000005000000}"/>
    <cellStyle name="Note" xfId="50" xr:uid="{00000000-0005-0000-0000-000027000000}"/>
    <cellStyle name="Output" xfId="51" xr:uid="{00000000-0005-0000-0000-000028000000}"/>
    <cellStyle name="Porcentaje" xfId="6" builtinId="5"/>
    <cellStyle name="Porcentaje 2" xfId="12" xr:uid="{00000000-0005-0000-0000-000058000000}"/>
    <cellStyle name="Style 1" xfId="52" xr:uid="{00000000-0005-0000-0000-00002A000000}"/>
    <cellStyle name="Title" xfId="53" xr:uid="{00000000-0005-0000-0000-00002B000000}"/>
    <cellStyle name="Total 2" xfId="54" xr:uid="{00000000-0005-0000-0000-00002C000000}"/>
    <cellStyle name="Warning Text" xfId="55" xr:uid="{00000000-0005-0000-0000-00002D000000}"/>
    <cellStyle name="ปกติ" xfId="9" xr:uid="{00000000-0005-0000-0000-00002E000000}"/>
    <cellStyle name="一般 2" xfId="61" xr:uid="{00000000-0005-0000-0000-00002F000000}"/>
    <cellStyle name="一般_2005 STOIK Quotation" xfId="10" xr:uid="{00000000-0005-0000-0000-000030000000}"/>
    <cellStyle name="千分位 2" xfId="56" xr:uid="{00000000-0005-0000-0000-000031000000}"/>
    <cellStyle name="壞_2011 PLC Worldwide Quotation" xfId="60" xr:uid="{00000000-0005-0000-0000-000032000000}"/>
    <cellStyle name="好_2011 PLC Worldwide Quotation" xfId="57" xr:uid="{00000000-0005-0000-0000-000033000000}"/>
    <cellStyle name="常规_ed" xfId="58" xr:uid="{00000000-0005-0000-0000-000034000000}"/>
    <cellStyle name="樣式 1" xfId="59" xr:uid="{00000000-0005-0000-0000-000035000000}"/>
  </cellStyles>
  <dxfs count="18"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2" formatCode="_ &quot;$&quot;* #,##0_ ;_ &quot;$&quot;* \-#,##0_ ;_ &quot;$&quot;* &quot;-&quot;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2" formatCode="_ &quot;$&quot;* #,##0_ ;_ &quot;$&quot;* \-#,##0_ ;_ &quot;$&quot;* &quot;-&quot;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92E6B-B258-4B71-9C35-0B561E8D21A5}" name="Tabla1" displayName="Tabla1" ref="O8:P20" totalsRowShown="0" headerRowDxfId="17" headerRowBorderDxfId="16" tableBorderDxfId="15" totalsRowBorderDxfId="14">
  <tableColumns count="2">
    <tableColumn id="1" xr3:uid="{E05E2771-5B60-450D-93E3-3223ACB2A2FC}" name="Grupo" dataDxfId="13"/>
    <tableColumn id="2" xr3:uid="{2BFB89BC-AE58-46E4-ACD1-E55EE7DC7DDE}" name="Descuento" dataDxf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A2A122-3A95-4414-9932-BAB07322E8F2}" name="Tabla6" displayName="Tabla6" ref="A2:G16" totalsRowCount="1" headerRowDxfId="11">
  <autoFilter ref="A2:G15" xr:uid="{88A2A122-3A95-4414-9932-BAB07322E8F2}"/>
  <tableColumns count="7">
    <tableColumn id="1" xr3:uid="{43BF4E4B-96C2-42F4-B263-BB6124426E17}" name="N°" totalsRowLabel="Total" dataDxfId="10" totalsRowDxfId="9"/>
    <tableColumn id="4" xr3:uid="{4F3705B5-5A8A-40DC-8170-183BFADE0B7A}" name="DESCRIPCIÓN" dataDxfId="8"/>
    <tableColumn id="5" xr3:uid="{7A006DA5-5D84-49A7-B5C3-13DB1BC42EB0}" name="CANT." dataDxfId="7" totalsRowDxfId="6"/>
    <tableColumn id="6" xr3:uid="{1DA57189-DFE8-4B4B-8950-60BF812DBFCE}" name="COSTO UNIT." dataDxfId="5" dataCellStyle="Moneda [0]">
      <calculatedColumnFormula>+I3/(1-$J$1)</calculatedColumnFormula>
    </tableColumn>
    <tableColumn id="3" xr3:uid="{BAE0DDAE-D207-4B22-A2CF-FC7686DCDCF1}" name="C/U c/s" dataDxfId="4" dataCellStyle="Moneda [0]">
      <calculatedColumnFormula>+Tabla6[[#This Row],[COSTO UNIT.]]+$F$15/10</calculatedColumnFormula>
    </tableColumn>
    <tableColumn id="7" xr3:uid="{444D1979-99F7-4329-B639-A1CD62D91F7E}" name="COSTO TOTAL" dataDxfId="3" totalsRowDxfId="2"/>
    <tableColumn id="2" xr3:uid="{5DE34416-59DF-47B9-9DBE-DA64F801009E}" name="Shipping" dataDxfId="1" totalsRowDxfId="0">
      <calculatedColumnFormula>+Tabla6[[#This Row],[COSTO TOTAL]]+$F$15/6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J40"/>
  <sheetViews>
    <sheetView topLeftCell="A10" zoomScale="160" zoomScaleNormal="160" workbookViewId="0">
      <selection activeCell="C15" sqref="C15"/>
    </sheetView>
  </sheetViews>
  <sheetFormatPr baseColWidth="10" defaultRowHeight="15"/>
  <cols>
    <col min="1" max="1" width="7.140625" bestFit="1" customWidth="1"/>
    <col min="2" max="2" width="5.28515625" customWidth="1"/>
    <col min="3" max="3" width="39.28515625" bestFit="1" customWidth="1"/>
    <col min="4" max="4" width="22.28515625" customWidth="1"/>
    <col min="5" max="5" width="14.7109375" customWidth="1"/>
    <col min="6" max="6" width="19.42578125" customWidth="1"/>
    <col min="7" max="7" width="16.7109375" bestFit="1" customWidth="1"/>
    <col min="8" max="8" width="14.85546875" bestFit="1" customWidth="1"/>
    <col min="9" max="9" width="12.28515625" bestFit="1" customWidth="1"/>
  </cols>
  <sheetData>
    <row r="2" spans="2:10" ht="32.25" customHeight="1">
      <c r="B2" s="120" t="s">
        <v>3</v>
      </c>
      <c r="C2" s="121"/>
      <c r="D2" s="121"/>
      <c r="E2" s="121"/>
      <c r="F2" s="121"/>
      <c r="G2" s="50"/>
    </row>
    <row r="3" spans="2:10" ht="21.75" customHeight="1">
      <c r="B3" s="122"/>
      <c r="C3" s="123"/>
      <c r="D3" s="123"/>
      <c r="E3" s="123"/>
      <c r="F3" s="123"/>
      <c r="G3" s="50"/>
    </row>
    <row r="4" spans="2:10" ht="17.25" customHeight="1">
      <c r="B4" s="4"/>
      <c r="C4" s="4"/>
      <c r="D4" s="4"/>
      <c r="E4" s="4"/>
      <c r="F4" s="4"/>
      <c r="G4" s="50"/>
    </row>
    <row r="5" spans="2:10" ht="15.75">
      <c r="B5" s="124" t="s">
        <v>73</v>
      </c>
      <c r="C5" s="124"/>
      <c r="D5" s="124" t="s">
        <v>162</v>
      </c>
      <c r="E5" s="124"/>
      <c r="F5" s="124"/>
      <c r="G5" s="50"/>
    </row>
    <row r="6" spans="2:10" ht="15.75">
      <c r="B6" s="124" t="s">
        <v>74</v>
      </c>
      <c r="C6" s="124"/>
      <c r="D6" s="124" t="s">
        <v>187</v>
      </c>
      <c r="E6" s="124"/>
      <c r="F6" s="124"/>
      <c r="G6" s="50"/>
    </row>
    <row r="7" spans="2:10" ht="15.75">
      <c r="B7" s="124" t="s">
        <v>75</v>
      </c>
      <c r="C7" s="124"/>
      <c r="D7" s="124" t="s">
        <v>164</v>
      </c>
      <c r="E7" s="124"/>
      <c r="F7" s="124"/>
      <c r="G7" s="50"/>
    </row>
    <row r="8" spans="2:10" ht="15.75">
      <c r="B8" s="5"/>
      <c r="C8" s="5"/>
      <c r="D8" s="5"/>
      <c r="E8" s="5"/>
      <c r="F8" s="5"/>
    </row>
    <row r="9" spans="2:10" ht="15.75">
      <c r="B9" s="5"/>
      <c r="C9" s="5"/>
      <c r="D9" s="5"/>
      <c r="E9" s="5"/>
      <c r="F9" s="5"/>
    </row>
    <row r="10" spans="2:10" ht="15.75">
      <c r="B10" s="8" t="s">
        <v>5</v>
      </c>
      <c r="C10" s="6"/>
      <c r="D10" s="5"/>
      <c r="E10" s="5"/>
      <c r="F10" s="5"/>
    </row>
    <row r="12" spans="2:10" ht="15.75">
      <c r="B12" s="3" t="s">
        <v>4</v>
      </c>
      <c r="C12" s="3" t="s">
        <v>12</v>
      </c>
      <c r="D12" s="1" t="s">
        <v>6</v>
      </c>
      <c r="E12" s="1" t="s">
        <v>7</v>
      </c>
      <c r="F12" s="3" t="s">
        <v>8</v>
      </c>
      <c r="G12" s="3" t="s">
        <v>102</v>
      </c>
      <c r="I12" s="3" t="s">
        <v>103</v>
      </c>
    </row>
    <row r="13" spans="2:10">
      <c r="B13" s="7">
        <v>1</v>
      </c>
      <c r="C13" s="26" t="s">
        <v>9</v>
      </c>
      <c r="D13" s="25">
        <f>+'Ingeniería y Planificación'!G20</f>
        <v>3744000</v>
      </c>
      <c r="E13" s="27">
        <v>0.55000000000000004</v>
      </c>
      <c r="F13" s="25">
        <f t="shared" ref="F13:F19" si="0">+D13/(1-E13)</f>
        <v>8320000.0000000009</v>
      </c>
      <c r="G13" s="28">
        <f t="shared" ref="G13:G19" si="1">F13/$H$24</f>
        <v>8757.8947368421068</v>
      </c>
      <c r="I13" s="80">
        <f>F13/SUM('Ingeniería y Planificación'!E8:E15)/H25</f>
        <v>1.0299069122598536</v>
      </c>
    </row>
    <row r="14" spans="2:10" ht="14.25" customHeight="1">
      <c r="B14" s="7">
        <v>2</v>
      </c>
      <c r="C14" s="26" t="s">
        <v>108</v>
      </c>
      <c r="D14" s="25">
        <f>+Adicionales!I22</f>
        <v>0</v>
      </c>
      <c r="E14" s="27">
        <v>0.3</v>
      </c>
      <c r="F14" s="25">
        <f t="shared" si="0"/>
        <v>0</v>
      </c>
      <c r="G14" s="28">
        <f t="shared" si="1"/>
        <v>0</v>
      </c>
      <c r="J14" s="62"/>
    </row>
    <row r="15" spans="2:10">
      <c r="B15" s="7">
        <v>3</v>
      </c>
      <c r="C15" s="26" t="s">
        <v>28</v>
      </c>
      <c r="D15" s="25">
        <f>+'Integración Eléctrica'!G18</f>
        <v>1224000</v>
      </c>
      <c r="E15" s="27">
        <v>0.55000000000000004</v>
      </c>
      <c r="F15" s="25">
        <f>+D15/(1-E15)</f>
        <v>2720000.0000000005</v>
      </c>
      <c r="G15" s="28">
        <f t="shared" si="1"/>
        <v>2863.1578947368425</v>
      </c>
      <c r="J15" s="62"/>
    </row>
    <row r="16" spans="2:10">
      <c r="B16" s="7">
        <v>4</v>
      </c>
      <c r="C16" s="26" t="s">
        <v>10</v>
      </c>
      <c r="D16" s="25">
        <f>+Equipos!K30</f>
        <v>21647925.974999998</v>
      </c>
      <c r="E16" s="76">
        <v>0.3</v>
      </c>
      <c r="F16" s="25">
        <f>+D16/(1-E16)</f>
        <v>30925608.535714284</v>
      </c>
      <c r="G16" s="28">
        <f t="shared" si="1"/>
        <v>32553.272142857142</v>
      </c>
      <c r="H16" s="28"/>
    </row>
    <row r="17" spans="2:9">
      <c r="B17" s="7">
        <v>5</v>
      </c>
      <c r="C17" s="26" t="s">
        <v>1</v>
      </c>
      <c r="D17" s="25">
        <f>+Flete!G14</f>
        <v>400000</v>
      </c>
      <c r="E17" s="27">
        <v>0.1</v>
      </c>
      <c r="F17" s="25">
        <f t="shared" si="0"/>
        <v>444444.44444444444</v>
      </c>
      <c r="G17" s="28">
        <f t="shared" si="1"/>
        <v>467.83625730994152</v>
      </c>
    </row>
    <row r="18" spans="2:9">
      <c r="B18" s="7">
        <v>6</v>
      </c>
      <c r="C18" s="26" t="s">
        <v>25</v>
      </c>
      <c r="D18" s="25">
        <f>+Montaje!G17</f>
        <v>0</v>
      </c>
      <c r="E18" s="27">
        <v>0.3</v>
      </c>
      <c r="F18" s="25">
        <f t="shared" si="0"/>
        <v>0</v>
      </c>
      <c r="G18" s="28">
        <f t="shared" si="1"/>
        <v>0</v>
      </c>
    </row>
    <row r="19" spans="2:9">
      <c r="B19" s="7">
        <v>7</v>
      </c>
      <c r="C19" s="26" t="s">
        <v>11</v>
      </c>
      <c r="D19" s="25">
        <f>+Otros!G16</f>
        <v>1130000</v>
      </c>
      <c r="E19" s="27">
        <v>0.1</v>
      </c>
      <c r="F19" s="25">
        <f t="shared" si="0"/>
        <v>1255555.5555555555</v>
      </c>
      <c r="G19" s="28">
        <f t="shared" si="1"/>
        <v>1321.6374269005848</v>
      </c>
    </row>
    <row r="21" spans="2:9" ht="15.75" thickBot="1"/>
    <row r="22" spans="2:9" ht="16.5" customHeight="1" thickBot="1">
      <c r="B22" s="43"/>
      <c r="C22" s="44" t="s">
        <v>23</v>
      </c>
      <c r="D22" s="37">
        <f>+SUM(D13:D19)</f>
        <v>28145925.974999998</v>
      </c>
      <c r="E22" s="49">
        <f>(F22-D22)/F22</f>
        <v>0.35542119029489017</v>
      </c>
      <c r="F22" s="37">
        <f>+SUM(F13:F19)</f>
        <v>43665608.535714284</v>
      </c>
      <c r="G22" s="37">
        <f>SUM(G13:G19)</f>
        <v>45963.798458646619</v>
      </c>
      <c r="H22" s="37"/>
    </row>
    <row r="23" spans="2:9">
      <c r="F23" s="28"/>
    </row>
    <row r="24" spans="2:9">
      <c r="E24" t="s">
        <v>95</v>
      </c>
      <c r="F24" s="51">
        <f>F22/H24</f>
        <v>45963.798458646612</v>
      </c>
      <c r="H24" s="72">
        <v>950</v>
      </c>
      <c r="I24" s="48" t="s">
        <v>105</v>
      </c>
    </row>
    <row r="25" spans="2:9">
      <c r="D25" s="28"/>
      <c r="H25" s="72">
        <v>40800</v>
      </c>
      <c r="I25" s="48" t="s">
        <v>104</v>
      </c>
    </row>
    <row r="26" spans="2:9">
      <c r="F26" s="66"/>
    </row>
    <row r="27" spans="2:9">
      <c r="F27" s="66"/>
    </row>
    <row r="28" spans="2:9">
      <c r="E28" s="78" t="s">
        <v>118</v>
      </c>
      <c r="F28" s="78" t="s">
        <v>119</v>
      </c>
      <c r="G28" s="78"/>
    </row>
    <row r="29" spans="2:9">
      <c r="C29" s="48" t="s">
        <v>109</v>
      </c>
      <c r="D29" s="82">
        <f>+F16</f>
        <v>30925608.535714284</v>
      </c>
      <c r="E29" s="81">
        <v>0</v>
      </c>
      <c r="F29" s="81">
        <f>+D29</f>
        <v>30925608.535714284</v>
      </c>
      <c r="G29" s="81"/>
    </row>
    <row r="30" spans="2:9">
      <c r="C30" s="48" t="s">
        <v>110</v>
      </c>
      <c r="D30" s="82">
        <f>+F13+F15</f>
        <v>11040000.000000002</v>
      </c>
      <c r="E30" s="81">
        <f>+D30</f>
        <v>11040000.000000002</v>
      </c>
      <c r="F30" s="81" t="s">
        <v>183</v>
      </c>
      <c r="G30" s="81"/>
    </row>
    <row r="31" spans="2:9">
      <c r="C31" s="48" t="s">
        <v>116</v>
      </c>
      <c r="D31" s="82">
        <f>+F17+F19</f>
        <v>1700000</v>
      </c>
      <c r="E31" s="81">
        <f>D31</f>
        <v>1700000</v>
      </c>
      <c r="F31" s="81" t="s">
        <v>183</v>
      </c>
      <c r="G31" s="81"/>
    </row>
    <row r="33" spans="3:7">
      <c r="C33" s="79" t="s">
        <v>117</v>
      </c>
      <c r="D33" s="77">
        <f>SUM(D29:D31)</f>
        <v>43665608.535714284</v>
      </c>
      <c r="E33" s="51">
        <f>SUM(E29:E31)</f>
        <v>12740000.000000002</v>
      </c>
      <c r="F33" s="74">
        <f>SUM(F29:F32)</f>
        <v>30925608.535714284</v>
      </c>
      <c r="G33" s="74"/>
    </row>
    <row r="34" spans="3:7">
      <c r="C34" s="118"/>
      <c r="D34" s="118"/>
      <c r="E34" s="118"/>
      <c r="F34" s="66"/>
    </row>
    <row r="35" spans="3:7">
      <c r="C35" s="118"/>
      <c r="D35" s="118"/>
      <c r="E35" s="118"/>
    </row>
    <row r="36" spans="3:7">
      <c r="C36" s="118"/>
      <c r="D36" s="118"/>
      <c r="E36" s="118"/>
    </row>
    <row r="37" spans="3:7">
      <c r="C37" s="118"/>
      <c r="D37" s="118"/>
      <c r="E37" s="118"/>
    </row>
    <row r="38" spans="3:7">
      <c r="C38" s="118"/>
      <c r="D38" s="118"/>
      <c r="E38" s="118"/>
    </row>
    <row r="39" spans="3:7">
      <c r="C39" s="118"/>
      <c r="D39" s="118"/>
      <c r="E39" s="118"/>
    </row>
    <row r="40" spans="3:7">
      <c r="C40" s="118"/>
      <c r="D40" s="118"/>
      <c r="E40" s="118"/>
    </row>
  </sheetData>
  <mergeCells count="7">
    <mergeCell ref="B2:F3"/>
    <mergeCell ref="D5:F5"/>
    <mergeCell ref="D7:F7"/>
    <mergeCell ref="D6:F6"/>
    <mergeCell ref="B5:C5"/>
    <mergeCell ref="B6:C6"/>
    <mergeCell ref="B7:C7"/>
  </mergeCells>
  <phoneticPr fontId="9" type="noConversion"/>
  <hyperlinks>
    <hyperlink ref="C13" location="'Ingeniería y Planificación'!A1" display="Ingeniería y planificación" xr:uid="{00000000-0004-0000-0000-000000000000}"/>
    <hyperlink ref="C16" location="Equipos!A1" display="Equipos" xr:uid="{00000000-0004-0000-0000-000001000000}"/>
    <hyperlink ref="C19" location="Otros!A1" display="Otros: Viajes, visitas a terreno, levantamientos" xr:uid="{00000000-0004-0000-0000-000003000000}"/>
    <hyperlink ref="C17" location="Flete!A1" display="Flete" xr:uid="{00000000-0004-0000-0000-000004000000}"/>
    <hyperlink ref="C18" location="Montaje!A1" display="Montaje" xr:uid="{00000000-0004-0000-0000-000005000000}"/>
    <hyperlink ref="C15" location="'Integración Eléctrica'!A1" display="Integración Eléctrica" xr:uid="{00000000-0004-0000-0000-000006000000}"/>
    <hyperlink ref="C14" location="Adicionales!A1" display="Adicionales!A1" xr:uid="{A32F7C16-C407-45E8-8110-E542FF3D28A2}"/>
  </hyperlinks>
  <pageMargins left="0.7" right="0.7" top="0.75" bottom="0.75" header="0.3" footer="0.3"/>
  <pageSetup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24"/>
  <sheetViews>
    <sheetView tabSelected="1" topLeftCell="A4" zoomScale="160" zoomScaleNormal="160" workbookViewId="0">
      <selection activeCell="C12" sqref="C12:G12"/>
    </sheetView>
  </sheetViews>
  <sheetFormatPr baseColWidth="10" defaultColWidth="11.42578125" defaultRowHeight="15"/>
  <cols>
    <col min="1" max="1" width="5.28515625" style="11" customWidth="1"/>
    <col min="2" max="2" width="4.85546875" style="12" customWidth="1"/>
    <col min="3" max="3" width="36.42578125" style="11" bestFit="1" customWidth="1"/>
    <col min="4" max="4" width="8.28515625" style="12" bestFit="1" customWidth="1"/>
    <col min="5" max="5" width="10.28515625" style="12" bestFit="1" customWidth="1"/>
    <col min="6" max="6" width="13" style="12" bestFit="1" customWidth="1"/>
    <col min="7" max="7" width="19.28515625" style="12" customWidth="1"/>
    <col min="8" max="11" width="11.42578125" style="11"/>
    <col min="12" max="12" width="5.42578125" style="11" customWidth="1"/>
    <col min="13" max="13" width="6" style="11" customWidth="1"/>
    <col min="14" max="16384" width="11.42578125" style="11"/>
  </cols>
  <sheetData>
    <row r="1" spans="2:16" ht="15.75" thickBot="1"/>
    <row r="2" spans="2:16" s="13" customFormat="1" ht="52.5" customHeight="1" thickBot="1">
      <c r="B2" s="125" t="s">
        <v>3</v>
      </c>
      <c r="C2" s="126"/>
      <c r="D2" s="126"/>
      <c r="E2" s="126"/>
      <c r="F2" s="126"/>
      <c r="G2" s="127"/>
    </row>
    <row r="3" spans="2:16" s="13" customFormat="1" ht="15" customHeight="1">
      <c r="B3" s="14"/>
      <c r="C3" s="15"/>
      <c r="D3" s="14"/>
      <c r="E3" s="14"/>
      <c r="F3" s="14"/>
      <c r="G3" s="14"/>
    </row>
    <row r="5" spans="2:16" s="13" customFormat="1" ht="15.75">
      <c r="B5" s="16">
        <v>1</v>
      </c>
      <c r="C5" s="17" t="s">
        <v>13</v>
      </c>
      <c r="D5" s="21"/>
      <c r="E5" s="21"/>
      <c r="F5" s="21"/>
      <c r="G5" s="21"/>
    </row>
    <row r="6" spans="2:16" s="13" customFormat="1" ht="15.75">
      <c r="B6" s="18"/>
      <c r="C6" s="17"/>
      <c r="D6" s="21"/>
      <c r="E6" s="21"/>
      <c r="F6" s="21"/>
      <c r="G6" s="21"/>
      <c r="J6" s="39"/>
    </row>
    <row r="7" spans="2:16">
      <c r="B7" s="9" t="s">
        <v>4</v>
      </c>
      <c r="C7" s="9" t="s">
        <v>12</v>
      </c>
      <c r="D7" s="10" t="s">
        <v>17</v>
      </c>
      <c r="E7" s="10" t="s">
        <v>14</v>
      </c>
      <c r="F7" s="10" t="s">
        <v>15</v>
      </c>
      <c r="G7" s="10" t="s">
        <v>16</v>
      </c>
      <c r="I7" s="39"/>
      <c r="J7" s="39"/>
      <c r="L7" s="39"/>
      <c r="O7" s="39"/>
      <c r="P7" s="39"/>
    </row>
    <row r="8" spans="2:16">
      <c r="B8" s="19" t="s">
        <v>29</v>
      </c>
      <c r="C8" s="20" t="s">
        <v>101</v>
      </c>
      <c r="D8" s="38" t="s">
        <v>18</v>
      </c>
      <c r="E8" s="69">
        <v>0</v>
      </c>
      <c r="F8" s="23">
        <v>25000</v>
      </c>
      <c r="G8" s="23">
        <f t="shared" ref="G8:G15" si="0">+F8*E8</f>
        <v>0</v>
      </c>
      <c r="H8" s="39"/>
      <c r="J8" s="39"/>
      <c r="L8" s="39"/>
      <c r="O8" s="39"/>
      <c r="P8" s="39"/>
    </row>
    <row r="9" spans="2:16">
      <c r="B9" s="38" t="s">
        <v>30</v>
      </c>
      <c r="C9" s="20" t="s">
        <v>114</v>
      </c>
      <c r="D9" s="38" t="s">
        <v>18</v>
      </c>
      <c r="E9" s="38">
        <v>0</v>
      </c>
      <c r="F9" s="23">
        <v>20000</v>
      </c>
      <c r="G9" s="23">
        <f t="shared" si="0"/>
        <v>0</v>
      </c>
      <c r="H9" s="39"/>
      <c r="I9" s="39"/>
      <c r="J9" s="39"/>
      <c r="L9" s="39"/>
      <c r="O9" s="39"/>
      <c r="P9" s="39"/>
    </row>
    <row r="10" spans="2:16">
      <c r="B10" s="38" t="s">
        <v>31</v>
      </c>
      <c r="C10" s="20" t="s">
        <v>115</v>
      </c>
      <c r="D10" s="38" t="s">
        <v>18</v>
      </c>
      <c r="E10" s="38">
        <v>90</v>
      </c>
      <c r="F10" s="23">
        <v>20000</v>
      </c>
      <c r="G10" s="23">
        <f t="shared" si="0"/>
        <v>1800000</v>
      </c>
      <c r="H10" s="39" t="s">
        <v>184</v>
      </c>
      <c r="I10" s="39"/>
      <c r="L10" s="39"/>
      <c r="O10" s="39"/>
      <c r="P10" s="39"/>
    </row>
    <row r="11" spans="2:16">
      <c r="B11" s="19" t="s">
        <v>32</v>
      </c>
      <c r="C11" s="39" t="s">
        <v>151</v>
      </c>
      <c r="D11" s="38" t="s">
        <v>18</v>
      </c>
      <c r="E11" s="38">
        <v>36</v>
      </c>
      <c r="F11" s="23">
        <v>20000</v>
      </c>
      <c r="G11" s="23">
        <f t="shared" si="0"/>
        <v>720000</v>
      </c>
      <c r="H11" s="39" t="s">
        <v>185</v>
      </c>
      <c r="I11" s="39"/>
      <c r="J11" s="39"/>
      <c r="L11" s="39"/>
      <c r="O11" s="39"/>
      <c r="P11" s="39"/>
    </row>
    <row r="12" spans="2:16">
      <c r="B12" s="19" t="s">
        <v>33</v>
      </c>
      <c r="C12" s="39" t="s">
        <v>180</v>
      </c>
      <c r="D12" s="38" t="s">
        <v>18</v>
      </c>
      <c r="E12" s="12">
        <v>36</v>
      </c>
      <c r="F12" s="23">
        <v>17000</v>
      </c>
      <c r="G12" s="23">
        <f t="shared" si="0"/>
        <v>612000</v>
      </c>
      <c r="H12" s="39" t="s">
        <v>181</v>
      </c>
      <c r="L12" s="39"/>
    </row>
    <row r="13" spans="2:16">
      <c r="B13" s="38" t="s">
        <v>34</v>
      </c>
      <c r="C13" s="39" t="s">
        <v>179</v>
      </c>
      <c r="D13" s="38" t="s">
        <v>18</v>
      </c>
      <c r="E13" s="12">
        <v>27</v>
      </c>
      <c r="F13" s="23">
        <v>17000</v>
      </c>
      <c r="G13" s="23">
        <f t="shared" si="0"/>
        <v>459000</v>
      </c>
      <c r="H13" s="39" t="s">
        <v>188</v>
      </c>
      <c r="J13" s="39"/>
      <c r="N13" s="39"/>
    </row>
    <row r="14" spans="2:16">
      <c r="B14" s="19" t="s">
        <v>35</v>
      </c>
      <c r="C14" s="39" t="s">
        <v>182</v>
      </c>
      <c r="D14" s="38" t="s">
        <v>18</v>
      </c>
      <c r="E14" s="12">
        <v>9</v>
      </c>
      <c r="F14" s="23">
        <v>17000</v>
      </c>
      <c r="G14" s="23">
        <f t="shared" si="0"/>
        <v>153000</v>
      </c>
      <c r="H14" s="39" t="s">
        <v>186</v>
      </c>
      <c r="J14" s="39"/>
      <c r="M14" s="39"/>
    </row>
    <row r="15" spans="2:16">
      <c r="B15" s="38" t="s">
        <v>36</v>
      </c>
      <c r="C15" s="39"/>
      <c r="D15" s="38" t="s">
        <v>18</v>
      </c>
      <c r="E15" s="12">
        <v>0</v>
      </c>
      <c r="F15" s="23">
        <v>15000</v>
      </c>
      <c r="G15" s="23">
        <f t="shared" si="0"/>
        <v>0</v>
      </c>
      <c r="H15" s="39"/>
    </row>
    <row r="16" spans="2:16">
      <c r="B16" s="19"/>
      <c r="C16" s="39"/>
      <c r="D16" s="38"/>
      <c r="F16" s="23"/>
      <c r="G16" s="23"/>
      <c r="H16" s="39"/>
    </row>
    <row r="17" spans="2:7">
      <c r="B17" s="38"/>
      <c r="C17" s="39"/>
      <c r="D17" s="38"/>
      <c r="F17" s="23"/>
      <c r="G17" s="23"/>
    </row>
    <row r="20" spans="2:7">
      <c r="C20" s="26" t="s">
        <v>27</v>
      </c>
      <c r="F20" s="22" t="s">
        <v>6</v>
      </c>
      <c r="G20" s="24">
        <f>+SUM(G8:G17)</f>
        <v>3744000</v>
      </c>
    </row>
    <row r="22" spans="2:7">
      <c r="F22" s="38"/>
      <c r="G22" s="75"/>
    </row>
    <row r="23" spans="2:7">
      <c r="B23" s="38"/>
      <c r="C23" s="39"/>
    </row>
    <row r="24" spans="2:7">
      <c r="B24" s="38"/>
      <c r="C24" s="20"/>
      <c r="D24" s="38"/>
      <c r="E24" s="38"/>
      <c r="F24" s="23"/>
      <c r="G24" s="23"/>
    </row>
  </sheetData>
  <mergeCells count="1">
    <mergeCell ref="B2:G2"/>
  </mergeCells>
  <phoneticPr fontId="9" type="noConversion"/>
  <hyperlinks>
    <hyperlink ref="C20" location="'RESUMEN GENERAL'!A1" display="ATRÁS (Resumen General)" xr:uid="{00000000-0004-0000-0100-000000000000}"/>
  </hyperlinks>
  <pageMargins left="0.75" right="0.75" top="1" bottom="1" header="0" footer="0"/>
  <pageSetup scale="78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2"/>
  <sheetViews>
    <sheetView zoomScale="130" zoomScaleNormal="130" workbookViewId="0">
      <selection activeCell="J6" sqref="J6"/>
    </sheetView>
  </sheetViews>
  <sheetFormatPr baseColWidth="10" defaultRowHeight="15"/>
  <cols>
    <col min="1" max="1" width="6.5703125" customWidth="1"/>
    <col min="2" max="2" width="5.42578125" bestFit="1" customWidth="1"/>
    <col min="3" max="3" width="51.7109375" bestFit="1" customWidth="1"/>
    <col min="4" max="4" width="20.28515625" bestFit="1" customWidth="1"/>
    <col min="5" max="5" width="9.7109375" style="2" customWidth="1"/>
    <col min="6" max="6" width="12.7109375" customWidth="1"/>
    <col min="7" max="7" width="16.140625" bestFit="1" customWidth="1"/>
    <col min="8" max="8" width="16" bestFit="1" customWidth="1"/>
    <col min="9" max="9" width="15.28515625" customWidth="1"/>
    <col min="11" max="11" width="4.5703125" bestFit="1" customWidth="1"/>
  </cols>
  <sheetData>
    <row r="1" spans="1:12" ht="15.75" thickBot="1"/>
    <row r="2" spans="1:12" ht="53.25" customHeight="1" thickBot="1">
      <c r="B2" s="125" t="s">
        <v>3</v>
      </c>
      <c r="C2" s="126"/>
      <c r="D2" s="126"/>
      <c r="E2" s="126"/>
      <c r="F2" s="126"/>
      <c r="G2" s="126"/>
      <c r="H2" s="126"/>
      <c r="I2" s="127"/>
    </row>
    <row r="3" spans="1:12" ht="15.75">
      <c r="B3" s="14"/>
      <c r="C3" s="15"/>
      <c r="D3" s="14"/>
      <c r="E3" s="14"/>
      <c r="F3" s="14"/>
      <c r="G3" s="14"/>
      <c r="H3" s="14"/>
    </row>
    <row r="4" spans="1:12">
      <c r="B4" s="12"/>
      <c r="C4" s="11"/>
      <c r="D4" s="12"/>
      <c r="E4" s="12"/>
      <c r="F4" s="12"/>
      <c r="G4" s="12"/>
      <c r="H4" s="12"/>
    </row>
    <row r="5" spans="1:12" ht="15.75">
      <c r="B5" s="16">
        <v>2</v>
      </c>
      <c r="C5" s="17" t="s">
        <v>2</v>
      </c>
      <c r="D5" s="21"/>
      <c r="E5" s="21"/>
      <c r="F5" s="21"/>
      <c r="G5" s="21"/>
      <c r="H5" s="21"/>
      <c r="J5" t="s">
        <v>95</v>
      </c>
    </row>
    <row r="6" spans="1:12" ht="15.75">
      <c r="B6" s="18"/>
      <c r="C6" s="17"/>
      <c r="D6" s="21"/>
      <c r="E6" s="21"/>
      <c r="F6" s="21"/>
      <c r="G6" s="21"/>
      <c r="H6" s="21"/>
      <c r="J6" s="73">
        <f>'RESUMEN GENERAL'!H24</f>
        <v>950</v>
      </c>
      <c r="L6" s="42"/>
    </row>
    <row r="7" spans="1:12">
      <c r="A7">
        <v>777777</v>
      </c>
      <c r="B7" s="9" t="s">
        <v>4</v>
      </c>
      <c r="C7" s="9" t="s">
        <v>12</v>
      </c>
      <c r="D7" s="10" t="s">
        <v>80</v>
      </c>
      <c r="E7" s="10" t="s">
        <v>17</v>
      </c>
      <c r="F7" s="10" t="s">
        <v>14</v>
      </c>
      <c r="G7" s="10" t="s">
        <v>111</v>
      </c>
      <c r="H7" s="10" t="s">
        <v>112</v>
      </c>
      <c r="I7" s="10" t="s">
        <v>21</v>
      </c>
      <c r="K7" s="39"/>
    </row>
    <row r="8" spans="1:12">
      <c r="B8" s="19" t="s">
        <v>37</v>
      </c>
      <c r="D8" s="38"/>
      <c r="E8" s="38" t="s">
        <v>77</v>
      </c>
      <c r="F8" s="35">
        <v>0</v>
      </c>
      <c r="G8" s="41">
        <v>0</v>
      </c>
      <c r="H8" s="23">
        <f>G8*$J$6</f>
        <v>0</v>
      </c>
      <c r="I8" s="23">
        <f>+H8*F8</f>
        <v>0</v>
      </c>
      <c r="K8" s="39"/>
    </row>
    <row r="9" spans="1:12">
      <c r="B9" s="38" t="s">
        <v>38</v>
      </c>
      <c r="C9" s="39"/>
      <c r="D9" s="12"/>
      <c r="E9" s="38" t="s">
        <v>77</v>
      </c>
      <c r="F9" s="35">
        <v>0</v>
      </c>
      <c r="G9" s="23">
        <v>0</v>
      </c>
      <c r="H9" s="23">
        <f t="shared" ref="H9:H17" si="0">G9*$J$6</f>
        <v>0</v>
      </c>
      <c r="I9" s="23">
        <f>+G9*F9</f>
        <v>0</v>
      </c>
      <c r="K9" s="39"/>
    </row>
    <row r="10" spans="1:12">
      <c r="B10" s="19" t="s">
        <v>39</v>
      </c>
      <c r="C10" s="11"/>
      <c r="D10" s="12"/>
      <c r="E10" s="12"/>
      <c r="F10" s="35">
        <v>0</v>
      </c>
      <c r="G10" s="23">
        <v>0</v>
      </c>
      <c r="H10" s="23">
        <f t="shared" si="0"/>
        <v>0</v>
      </c>
      <c r="I10" s="23">
        <f t="shared" ref="I10:I17" si="1">+G10*F10</f>
        <v>0</v>
      </c>
      <c r="K10" s="39"/>
    </row>
    <row r="11" spans="1:12">
      <c r="B11" s="38" t="s">
        <v>40</v>
      </c>
      <c r="C11" s="11"/>
      <c r="D11" s="12"/>
      <c r="E11" s="12"/>
      <c r="F11" s="35">
        <v>0</v>
      </c>
      <c r="G11" s="23">
        <v>0</v>
      </c>
      <c r="H11" s="23">
        <f t="shared" si="0"/>
        <v>0</v>
      </c>
      <c r="I11" s="23">
        <f t="shared" si="1"/>
        <v>0</v>
      </c>
      <c r="K11" s="39"/>
    </row>
    <row r="12" spans="1:12">
      <c r="B12" s="19" t="s">
        <v>41</v>
      </c>
      <c r="C12" s="11"/>
      <c r="D12" s="12"/>
      <c r="E12" s="12"/>
      <c r="F12" s="35">
        <v>0</v>
      </c>
      <c r="G12" s="23">
        <v>0</v>
      </c>
      <c r="H12" s="23">
        <f t="shared" si="0"/>
        <v>0</v>
      </c>
      <c r="I12" s="23">
        <f t="shared" si="1"/>
        <v>0</v>
      </c>
      <c r="K12" s="39"/>
    </row>
    <row r="13" spans="1:12">
      <c r="B13" s="38" t="s">
        <v>42</v>
      </c>
      <c r="C13" s="11"/>
      <c r="D13" s="12"/>
      <c r="E13" s="12"/>
      <c r="F13" s="35">
        <v>0</v>
      </c>
      <c r="G13" s="23">
        <v>0</v>
      </c>
      <c r="H13" s="23">
        <f t="shared" si="0"/>
        <v>0</v>
      </c>
      <c r="I13" s="23">
        <f t="shared" si="1"/>
        <v>0</v>
      </c>
    </row>
    <row r="14" spans="1:12">
      <c r="B14" s="19" t="s">
        <v>43</v>
      </c>
      <c r="C14" s="11"/>
      <c r="D14" s="12"/>
      <c r="E14" s="12"/>
      <c r="F14" s="35">
        <v>0</v>
      </c>
      <c r="G14" s="23">
        <v>0</v>
      </c>
      <c r="H14" s="23">
        <f t="shared" si="0"/>
        <v>0</v>
      </c>
      <c r="I14" s="23">
        <f t="shared" si="1"/>
        <v>0</v>
      </c>
    </row>
    <row r="15" spans="1:12">
      <c r="B15" s="38" t="s">
        <v>44</v>
      </c>
      <c r="C15" s="11"/>
      <c r="D15" s="12"/>
      <c r="E15" s="12"/>
      <c r="F15" s="35">
        <v>0</v>
      </c>
      <c r="G15" s="23">
        <v>0</v>
      </c>
      <c r="H15" s="23">
        <f t="shared" si="0"/>
        <v>0</v>
      </c>
      <c r="I15" s="23">
        <f t="shared" si="1"/>
        <v>0</v>
      </c>
    </row>
    <row r="16" spans="1:12">
      <c r="B16" s="19" t="s">
        <v>45</v>
      </c>
      <c r="F16" s="35">
        <v>0</v>
      </c>
      <c r="G16" s="23">
        <v>0</v>
      </c>
      <c r="H16" s="23">
        <f t="shared" si="0"/>
        <v>0</v>
      </c>
      <c r="I16" s="23">
        <f t="shared" si="1"/>
        <v>0</v>
      </c>
    </row>
    <row r="17" spans="2:11">
      <c r="B17" s="38" t="s">
        <v>46</v>
      </c>
      <c r="F17" s="35">
        <v>0</v>
      </c>
      <c r="G17" s="23">
        <v>0</v>
      </c>
      <c r="H17" s="23">
        <f t="shared" si="0"/>
        <v>0</v>
      </c>
      <c r="I17" s="23">
        <f t="shared" si="1"/>
        <v>0</v>
      </c>
    </row>
    <row r="18" spans="2:11">
      <c r="B18" s="19"/>
      <c r="F18" s="35"/>
    </row>
    <row r="19" spans="2:11">
      <c r="B19" s="38"/>
    </row>
    <row r="20" spans="2:11">
      <c r="G20" s="42" t="s">
        <v>26</v>
      </c>
      <c r="H20" s="42"/>
      <c r="I20" s="35">
        <f>+SUM(F8:F17)</f>
        <v>0</v>
      </c>
    </row>
    <row r="21" spans="2:11">
      <c r="E21"/>
      <c r="F21" s="35"/>
    </row>
    <row r="22" spans="2:11">
      <c r="C22" s="26" t="s">
        <v>27</v>
      </c>
      <c r="E22"/>
      <c r="F22" s="35"/>
      <c r="G22" t="s">
        <v>6</v>
      </c>
      <c r="I22" s="28">
        <f>+SUM(I8:I17)</f>
        <v>0</v>
      </c>
      <c r="K22" s="33"/>
    </row>
    <row r="23" spans="2:11">
      <c r="E23"/>
      <c r="F23" s="35"/>
      <c r="K23" s="33"/>
    </row>
    <row r="24" spans="2:11">
      <c r="E24"/>
      <c r="F24" s="35"/>
      <c r="K24" s="33"/>
    </row>
    <row r="25" spans="2:11">
      <c r="E25"/>
      <c r="F25" s="35"/>
      <c r="K25" s="33"/>
    </row>
    <row r="26" spans="2:11">
      <c r="E26"/>
      <c r="F26" s="35"/>
    </row>
    <row r="27" spans="2:11">
      <c r="E27"/>
      <c r="F27" s="35"/>
      <c r="K27" s="33"/>
    </row>
    <row r="28" spans="2:11">
      <c r="E28"/>
      <c r="F28" s="35"/>
    </row>
    <row r="29" spans="2:11">
      <c r="E29"/>
      <c r="F29" s="35"/>
      <c r="K29" s="34"/>
    </row>
    <row r="30" spans="2:11">
      <c r="E30"/>
      <c r="F30" s="35"/>
    </row>
    <row r="32" spans="2:11">
      <c r="D32" s="36"/>
    </row>
  </sheetData>
  <mergeCells count="1">
    <mergeCell ref="B2:I2"/>
  </mergeCells>
  <phoneticPr fontId="9" type="noConversion"/>
  <hyperlinks>
    <hyperlink ref="C22" location="'RESUMEN GENERAL'!A1" display="ATRÁS (Resumen General)" xr:uid="{00000000-0004-0000-0200-000000000000}"/>
  </hyperlinks>
  <pageMargins left="0.75" right="0.75" top="1" bottom="1" header="0" footer="0"/>
  <pageSetup scale="78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J26"/>
  <sheetViews>
    <sheetView zoomScale="160" zoomScaleNormal="160" workbookViewId="0"/>
  </sheetViews>
  <sheetFormatPr baseColWidth="10" defaultRowHeight="15"/>
  <cols>
    <col min="1" max="1" width="6.5703125" customWidth="1"/>
    <col min="2" max="2" width="5.42578125" bestFit="1" customWidth="1"/>
    <col min="3" max="3" width="42.5703125" bestFit="1" customWidth="1"/>
    <col min="4" max="4" width="9.7109375" style="2" customWidth="1"/>
    <col min="5" max="5" width="12.7109375" customWidth="1"/>
    <col min="6" max="6" width="13.28515625" customWidth="1"/>
    <col min="7" max="7" width="15.28515625" customWidth="1"/>
    <col min="9" max="9" width="4.5703125" bestFit="1" customWidth="1"/>
  </cols>
  <sheetData>
    <row r="1" spans="2:10" ht="15.75" thickBot="1"/>
    <row r="2" spans="2:10" ht="53.25" customHeight="1" thickBot="1">
      <c r="B2" s="125" t="s">
        <v>3</v>
      </c>
      <c r="C2" s="126"/>
      <c r="D2" s="126"/>
      <c r="E2" s="126"/>
      <c r="F2" s="126"/>
      <c r="G2" s="127"/>
    </row>
    <row r="3" spans="2:10" ht="15.75">
      <c r="B3" s="14"/>
      <c r="C3" s="15"/>
      <c r="D3" s="14"/>
      <c r="E3" s="14"/>
      <c r="F3" s="14"/>
    </row>
    <row r="4" spans="2:10">
      <c r="B4" s="12"/>
      <c r="C4" s="11"/>
      <c r="D4" s="12"/>
      <c r="E4" s="12"/>
      <c r="F4" s="12"/>
    </row>
    <row r="5" spans="2:10" ht="15.75">
      <c r="B5" s="16">
        <v>3</v>
      </c>
      <c r="C5" s="17" t="s">
        <v>28</v>
      </c>
      <c r="D5" s="21"/>
      <c r="E5" s="21"/>
      <c r="F5" s="21"/>
    </row>
    <row r="6" spans="2:10" ht="15.75">
      <c r="B6" s="18"/>
      <c r="C6" s="17"/>
      <c r="D6" s="21"/>
      <c r="E6" s="21"/>
      <c r="F6" s="21"/>
    </row>
    <row r="7" spans="2:10">
      <c r="B7" s="9" t="s">
        <v>4</v>
      </c>
      <c r="C7" s="9" t="s">
        <v>12</v>
      </c>
      <c r="D7" s="10" t="s">
        <v>17</v>
      </c>
      <c r="E7" s="10" t="s">
        <v>14</v>
      </c>
      <c r="F7" s="10" t="s">
        <v>22</v>
      </c>
      <c r="G7" s="10" t="s">
        <v>21</v>
      </c>
      <c r="J7" s="42"/>
    </row>
    <row r="8" spans="2:10">
      <c r="B8" s="19" t="s">
        <v>47</v>
      </c>
      <c r="C8" s="20" t="s">
        <v>189</v>
      </c>
      <c r="D8" s="38" t="s">
        <v>18</v>
      </c>
      <c r="E8" s="35">
        <v>72</v>
      </c>
      <c r="F8" s="64">
        <v>17000</v>
      </c>
      <c r="G8" s="45">
        <f>F8*E8</f>
        <v>1224000</v>
      </c>
      <c r="I8" s="39" t="s">
        <v>177</v>
      </c>
    </row>
    <row r="9" spans="2:10">
      <c r="B9" s="38" t="s">
        <v>48</v>
      </c>
      <c r="C9" s="39"/>
      <c r="D9" s="38" t="s">
        <v>89</v>
      </c>
      <c r="E9" s="35">
        <v>0</v>
      </c>
      <c r="F9" s="64">
        <v>0</v>
      </c>
      <c r="G9" s="45">
        <f t="shared" ref="G9:G15" si="0">F9*E9</f>
        <v>0</v>
      </c>
      <c r="I9" s="39" t="s">
        <v>178</v>
      </c>
    </row>
    <row r="10" spans="2:10">
      <c r="B10" s="19" t="s">
        <v>49</v>
      </c>
      <c r="C10" s="39"/>
      <c r="D10" s="38" t="s">
        <v>89</v>
      </c>
      <c r="E10" s="35">
        <v>0</v>
      </c>
      <c r="F10" s="64">
        <v>0</v>
      </c>
      <c r="G10" s="45">
        <f t="shared" si="0"/>
        <v>0</v>
      </c>
      <c r="I10" s="39"/>
    </row>
    <row r="11" spans="2:10">
      <c r="B11" s="38" t="s">
        <v>50</v>
      </c>
      <c r="C11" s="39"/>
      <c r="D11" s="38" t="s">
        <v>89</v>
      </c>
      <c r="E11" s="35">
        <v>0</v>
      </c>
      <c r="F11" s="64">
        <v>0</v>
      </c>
      <c r="G11" s="45">
        <f t="shared" si="0"/>
        <v>0</v>
      </c>
      <c r="I11" s="39"/>
    </row>
    <row r="12" spans="2:10">
      <c r="B12" s="19" t="s">
        <v>51</v>
      </c>
      <c r="C12" s="39"/>
      <c r="D12" s="38" t="s">
        <v>89</v>
      </c>
      <c r="E12" s="35">
        <v>0</v>
      </c>
      <c r="F12" s="64">
        <v>0</v>
      </c>
      <c r="G12" s="45">
        <f t="shared" si="0"/>
        <v>0</v>
      </c>
      <c r="I12" s="39"/>
    </row>
    <row r="13" spans="2:10">
      <c r="B13" s="38" t="s">
        <v>96</v>
      </c>
      <c r="C13" s="39"/>
      <c r="D13" s="38" t="s">
        <v>89</v>
      </c>
      <c r="E13" s="35">
        <v>0</v>
      </c>
      <c r="F13" s="64">
        <v>0</v>
      </c>
      <c r="G13" s="45">
        <f t="shared" si="0"/>
        <v>0</v>
      </c>
      <c r="I13" s="39"/>
    </row>
    <row r="14" spans="2:10">
      <c r="B14" s="38"/>
      <c r="C14" s="39"/>
      <c r="D14" s="38" t="s">
        <v>89</v>
      </c>
      <c r="E14" s="35">
        <v>0</v>
      </c>
      <c r="F14" s="64">
        <v>0</v>
      </c>
      <c r="G14" s="45">
        <f t="shared" si="0"/>
        <v>0</v>
      </c>
    </row>
    <row r="15" spans="2:10">
      <c r="B15" s="19"/>
      <c r="C15" s="39"/>
      <c r="D15" s="38" t="s">
        <v>89</v>
      </c>
      <c r="E15" s="35">
        <v>0</v>
      </c>
      <c r="F15" s="64">
        <v>0</v>
      </c>
      <c r="G15" s="45">
        <f t="shared" si="0"/>
        <v>0</v>
      </c>
    </row>
    <row r="16" spans="2:10">
      <c r="B16" s="19"/>
      <c r="C16" s="39"/>
      <c r="D16" s="38"/>
      <c r="E16" s="35"/>
      <c r="F16" s="23"/>
      <c r="G16" s="23"/>
    </row>
    <row r="17" spans="3:9">
      <c r="D17"/>
      <c r="E17" s="35"/>
    </row>
    <row r="18" spans="3:9">
      <c r="C18" s="26" t="s">
        <v>27</v>
      </c>
      <c r="D18"/>
      <c r="E18" s="35"/>
      <c r="F18" t="s">
        <v>6</v>
      </c>
      <c r="G18" s="28">
        <f>+SUM(G8:G15)</f>
        <v>1224000</v>
      </c>
      <c r="I18" s="33"/>
    </row>
    <row r="19" spans="3:9">
      <c r="D19"/>
      <c r="E19" s="35"/>
      <c r="I19" s="33"/>
    </row>
    <row r="20" spans="3:9">
      <c r="D20"/>
      <c r="E20" s="35"/>
      <c r="I20" s="33"/>
    </row>
    <row r="21" spans="3:9">
      <c r="D21"/>
      <c r="E21" s="35"/>
      <c r="I21" s="33"/>
    </row>
    <row r="22" spans="3:9">
      <c r="D22"/>
      <c r="E22" s="35"/>
    </row>
    <row r="23" spans="3:9">
      <c r="D23"/>
      <c r="E23" s="35"/>
      <c r="I23" s="33"/>
    </row>
    <row r="24" spans="3:9">
      <c r="D24"/>
      <c r="E24" s="35"/>
    </row>
    <row r="25" spans="3:9">
      <c r="D25"/>
      <c r="E25" s="35"/>
      <c r="I25" s="34"/>
    </row>
    <row r="26" spans="3:9">
      <c r="D26"/>
      <c r="E26" s="35"/>
    </row>
  </sheetData>
  <mergeCells count="1">
    <mergeCell ref="B2:G2"/>
  </mergeCells>
  <phoneticPr fontId="9" type="noConversion"/>
  <hyperlinks>
    <hyperlink ref="C18" location="'RESUMEN GENERAL'!A1" display="ATRÁS (Resumen General)" xr:uid="{00000000-0004-0000-0300-000000000000}"/>
  </hyperlinks>
  <pageMargins left="0.75" right="0.75" top="1" bottom="1" header="0" footer="0"/>
  <pageSetup scale="8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P32"/>
  <sheetViews>
    <sheetView zoomScale="145" zoomScaleNormal="145" workbookViewId="0">
      <selection activeCell="D14" sqref="D14"/>
    </sheetView>
  </sheetViews>
  <sheetFormatPr baseColWidth="10" defaultRowHeight="15"/>
  <cols>
    <col min="1" max="1" width="4.7109375" customWidth="1"/>
    <col min="2" max="2" width="5.5703125" bestFit="1" customWidth="1"/>
    <col min="3" max="3" width="24" customWidth="1"/>
    <col min="4" max="4" width="51.42578125" customWidth="1"/>
    <col min="5" max="5" width="15" customWidth="1"/>
    <col min="6" max="6" width="15.7109375" customWidth="1"/>
    <col min="7" max="7" width="8.5703125" style="2" bestFit="1" customWidth="1"/>
    <col min="8" max="8" width="10.42578125" bestFit="1" customWidth="1"/>
    <col min="9" max="10" width="16.140625" bestFit="1" customWidth="1"/>
    <col min="11" max="11" width="14.7109375" customWidth="1"/>
    <col min="12" max="12" width="14.42578125" bestFit="1" customWidth="1"/>
    <col min="13" max="13" width="12.5703125" bestFit="1" customWidth="1"/>
    <col min="14" max="14" width="24.85546875" bestFit="1" customWidth="1"/>
    <col min="15" max="15" width="7.85546875" customWidth="1"/>
    <col min="16" max="16" width="11.7109375" customWidth="1"/>
  </cols>
  <sheetData>
    <row r="1" spans="2:16" ht="15.75" thickBot="1"/>
    <row r="2" spans="2:16" ht="16.5" thickBot="1">
      <c r="B2" s="128" t="s">
        <v>3</v>
      </c>
      <c r="C2" s="129"/>
      <c r="D2" s="129"/>
      <c r="E2" s="129"/>
      <c r="F2" s="129"/>
      <c r="G2" s="129"/>
      <c r="H2" s="129"/>
      <c r="I2" s="129"/>
      <c r="J2" s="130"/>
      <c r="K2" s="58"/>
    </row>
    <row r="3" spans="2:16" ht="15.75">
      <c r="B3" s="14"/>
      <c r="C3" s="14"/>
      <c r="D3" s="15"/>
      <c r="E3" s="15"/>
      <c r="F3" s="15"/>
      <c r="G3" s="14"/>
      <c r="H3" s="14"/>
      <c r="I3" s="14"/>
      <c r="J3" s="14"/>
      <c r="K3" s="14"/>
    </row>
    <row r="4" spans="2:16">
      <c r="B4" s="12"/>
      <c r="C4" s="12"/>
      <c r="D4" s="11"/>
      <c r="E4" s="11"/>
      <c r="F4" s="11"/>
      <c r="G4" s="12"/>
      <c r="H4" s="12"/>
      <c r="I4" s="12"/>
      <c r="J4" s="12"/>
      <c r="K4" s="12"/>
    </row>
    <row r="5" spans="2:16" ht="15.75">
      <c r="B5" s="16">
        <v>4</v>
      </c>
      <c r="C5" s="16"/>
      <c r="D5" s="17" t="s">
        <v>10</v>
      </c>
      <c r="E5" s="17"/>
      <c r="F5" s="17"/>
      <c r="G5" s="21"/>
      <c r="H5" s="21"/>
      <c r="I5" s="21"/>
      <c r="J5" s="21"/>
      <c r="K5" s="59" t="s">
        <v>84</v>
      </c>
      <c r="L5" s="74">
        <f>+'RESUMEN GENERAL'!H24</f>
        <v>950</v>
      </c>
    </row>
    <row r="6" spans="2:16" ht="16.5" thickBot="1">
      <c r="B6" s="18"/>
      <c r="C6" s="18"/>
      <c r="D6" s="17"/>
      <c r="E6" s="17"/>
      <c r="F6" s="17"/>
      <c r="G6" s="21"/>
      <c r="H6" s="21"/>
      <c r="I6" s="21"/>
      <c r="J6" s="21"/>
      <c r="K6" s="21"/>
      <c r="M6" s="57"/>
    </row>
    <row r="7" spans="2:16" ht="15.75" thickBot="1">
      <c r="B7" s="52" t="s">
        <v>4</v>
      </c>
      <c r="C7" s="53" t="s">
        <v>81</v>
      </c>
      <c r="D7" s="54" t="s">
        <v>12</v>
      </c>
      <c r="E7" s="54" t="s">
        <v>148</v>
      </c>
      <c r="F7" s="54" t="s">
        <v>149</v>
      </c>
      <c r="G7" s="55" t="s">
        <v>17</v>
      </c>
      <c r="H7" s="55" t="s">
        <v>14</v>
      </c>
      <c r="I7" s="56" t="s">
        <v>111</v>
      </c>
      <c r="J7" s="56" t="s">
        <v>113</v>
      </c>
      <c r="K7" s="56" t="s">
        <v>83</v>
      </c>
      <c r="L7" s="60"/>
      <c r="M7" s="61"/>
    </row>
    <row r="8" spans="2:16" s="107" customFormat="1">
      <c r="B8" s="19" t="s">
        <v>90</v>
      </c>
      <c r="C8" s="107" t="s">
        <v>165</v>
      </c>
      <c r="D8" s="114" t="s">
        <v>166</v>
      </c>
      <c r="E8" s="102" t="s">
        <v>138</v>
      </c>
      <c r="F8" s="106">
        <v>37072.129999999997</v>
      </c>
      <c r="G8" s="102" t="s">
        <v>77</v>
      </c>
      <c r="H8" s="102">
        <v>1</v>
      </c>
      <c r="I8" s="106">
        <f>F8*(1-VLOOKUP(E8,$O$8:$P$19,2,FALSE))</f>
        <v>16682.458499999997</v>
      </c>
      <c r="J8" s="103">
        <f t="shared" ref="J8:J12" si="0">I8*$L$5</f>
        <v>15848335.574999997</v>
      </c>
      <c r="K8" s="103">
        <f>H8*J8</f>
        <v>15848335.574999997</v>
      </c>
      <c r="M8" s="108"/>
      <c r="O8" s="109" t="s">
        <v>130</v>
      </c>
      <c r="P8" s="110" t="s">
        <v>131</v>
      </c>
    </row>
    <row r="9" spans="2:16">
      <c r="B9" s="19" t="s">
        <v>91</v>
      </c>
      <c r="C9" s="107" t="s">
        <v>169</v>
      </c>
      <c r="D9" s="114" t="s">
        <v>170</v>
      </c>
      <c r="E9" s="102" t="s">
        <v>138</v>
      </c>
      <c r="F9" s="106">
        <v>954.51</v>
      </c>
      <c r="G9" s="102" t="s">
        <v>77</v>
      </c>
      <c r="H9" s="102">
        <v>1</v>
      </c>
      <c r="I9" s="106">
        <f t="shared" ref="I9:I24" si="1">F9*(1-VLOOKUP(E9,$O$8:$P$19,2,FALSE))</f>
        <v>429.52949999999993</v>
      </c>
      <c r="J9" s="103">
        <f t="shared" si="0"/>
        <v>408053.02499999991</v>
      </c>
      <c r="K9" s="103">
        <f>H9*J9</f>
        <v>408053.02499999991</v>
      </c>
      <c r="M9" s="28"/>
      <c r="O9" s="95" t="s">
        <v>150</v>
      </c>
      <c r="P9" s="96">
        <v>0</v>
      </c>
    </row>
    <row r="10" spans="2:16">
      <c r="B10" s="19" t="s">
        <v>93</v>
      </c>
      <c r="C10" s="107" t="s">
        <v>167</v>
      </c>
      <c r="D10" s="107" t="s">
        <v>168</v>
      </c>
      <c r="E10" s="102" t="s">
        <v>138</v>
      </c>
      <c r="F10" s="106">
        <v>506.71</v>
      </c>
      <c r="G10" s="102" t="s">
        <v>77</v>
      </c>
      <c r="H10" s="102">
        <v>1</v>
      </c>
      <c r="I10" s="106">
        <f t="shared" si="1"/>
        <v>228.01949999999997</v>
      </c>
      <c r="J10" s="103">
        <f t="shared" si="0"/>
        <v>216618.52499999997</v>
      </c>
      <c r="K10" s="103">
        <f t="shared" ref="K10:K21" si="2">H10*J10</f>
        <v>216618.52499999997</v>
      </c>
      <c r="M10" s="28"/>
      <c r="O10" s="95" t="s">
        <v>132</v>
      </c>
      <c r="P10" s="97" t="s">
        <v>133</v>
      </c>
    </row>
    <row r="11" spans="2:16">
      <c r="B11" s="19" t="s">
        <v>94</v>
      </c>
      <c r="C11" s="107" t="s">
        <v>171</v>
      </c>
      <c r="D11" s="107" t="s">
        <v>172</v>
      </c>
      <c r="E11" s="102" t="s">
        <v>138</v>
      </c>
      <c r="F11" s="106">
        <v>102.33</v>
      </c>
      <c r="G11" s="102" t="s">
        <v>77</v>
      </c>
      <c r="H11" s="102">
        <v>1</v>
      </c>
      <c r="I11" s="106">
        <f t="shared" si="1"/>
        <v>46.048499999999997</v>
      </c>
      <c r="J11" s="103">
        <f t="shared" si="0"/>
        <v>43746.074999999997</v>
      </c>
      <c r="K11" s="103">
        <f t="shared" si="2"/>
        <v>43746.074999999997</v>
      </c>
      <c r="M11" s="28"/>
      <c r="O11" s="95" t="s">
        <v>124</v>
      </c>
      <c r="P11" s="97" t="s">
        <v>133</v>
      </c>
    </row>
    <row r="12" spans="2:16">
      <c r="B12" s="19" t="s">
        <v>52</v>
      </c>
      <c r="C12" s="107" t="s">
        <v>173</v>
      </c>
      <c r="D12" s="107" t="s">
        <v>174</v>
      </c>
      <c r="E12" s="102" t="s">
        <v>138</v>
      </c>
      <c r="F12" s="106">
        <v>71.47</v>
      </c>
      <c r="G12" s="102" t="s">
        <v>77</v>
      </c>
      <c r="H12" s="102">
        <v>3</v>
      </c>
      <c r="I12" s="106">
        <f t="shared" si="1"/>
        <v>32.161499999999997</v>
      </c>
      <c r="J12" s="103">
        <f t="shared" si="0"/>
        <v>30553.424999999996</v>
      </c>
      <c r="K12" s="103">
        <f t="shared" si="2"/>
        <v>91660.274999999994</v>
      </c>
      <c r="M12" s="28"/>
      <c r="O12" s="95" t="s">
        <v>134</v>
      </c>
      <c r="P12" s="97" t="s">
        <v>135</v>
      </c>
    </row>
    <row r="13" spans="2:16">
      <c r="B13" s="19" t="s">
        <v>53</v>
      </c>
      <c r="C13" s="107" t="s">
        <v>175</v>
      </c>
      <c r="D13" s="107" t="s">
        <v>176</v>
      </c>
      <c r="E13" s="102" t="s">
        <v>136</v>
      </c>
      <c r="F13" s="106">
        <v>7031</v>
      </c>
      <c r="G13" s="102" t="s">
        <v>77</v>
      </c>
      <c r="H13" s="102">
        <v>1</v>
      </c>
      <c r="I13" s="106">
        <f t="shared" si="1"/>
        <v>2742.09</v>
      </c>
      <c r="J13" s="103">
        <f t="shared" ref="J13:J21" si="3">I13*$L$5</f>
        <v>2604985.5</v>
      </c>
      <c r="K13" s="103">
        <f t="shared" si="2"/>
        <v>2604985.5</v>
      </c>
      <c r="M13" s="28"/>
      <c r="O13" s="95" t="s">
        <v>123</v>
      </c>
      <c r="P13" s="97" t="s">
        <v>133</v>
      </c>
    </row>
    <row r="14" spans="2:16">
      <c r="B14" s="19" t="s">
        <v>54</v>
      </c>
      <c r="C14" s="107" t="s">
        <v>183</v>
      </c>
      <c r="D14" s="107" t="s">
        <v>191</v>
      </c>
      <c r="E14" s="102" t="s">
        <v>150</v>
      </c>
      <c r="F14" s="106">
        <v>0</v>
      </c>
      <c r="G14" s="102" t="s">
        <v>77</v>
      </c>
      <c r="H14" s="102">
        <v>1</v>
      </c>
      <c r="I14" s="106">
        <v>0</v>
      </c>
      <c r="J14" s="119">
        <v>1634527</v>
      </c>
      <c r="K14" s="103">
        <f t="shared" si="2"/>
        <v>1634527</v>
      </c>
      <c r="L14" s="28"/>
      <c r="M14" s="28"/>
      <c r="O14" s="95" t="s">
        <v>129</v>
      </c>
      <c r="P14" s="97" t="s">
        <v>135</v>
      </c>
    </row>
    <row r="15" spans="2:16">
      <c r="B15" s="19" t="s">
        <v>55</v>
      </c>
      <c r="C15" s="115"/>
      <c r="D15" s="107" t="s">
        <v>190</v>
      </c>
      <c r="E15" s="102" t="s">
        <v>150</v>
      </c>
      <c r="F15" s="106">
        <v>0</v>
      </c>
      <c r="G15" s="102" t="s">
        <v>77</v>
      </c>
      <c r="H15" s="102">
        <v>1</v>
      </c>
      <c r="I15" s="106">
        <f t="shared" si="1"/>
        <v>0</v>
      </c>
      <c r="J15" s="103">
        <v>800000</v>
      </c>
      <c r="K15" s="103">
        <f t="shared" si="2"/>
        <v>800000</v>
      </c>
      <c r="M15" s="28"/>
      <c r="O15" s="95" t="s">
        <v>136</v>
      </c>
      <c r="P15" s="97" t="s">
        <v>137</v>
      </c>
    </row>
    <row r="16" spans="2:16">
      <c r="B16" s="19" t="s">
        <v>120</v>
      </c>
      <c r="C16" s="115"/>
      <c r="D16" s="107"/>
      <c r="E16" s="102" t="s">
        <v>150</v>
      </c>
      <c r="F16" s="106">
        <v>0</v>
      </c>
      <c r="G16" s="102" t="s">
        <v>77</v>
      </c>
      <c r="H16" s="102">
        <v>0</v>
      </c>
      <c r="I16" s="106">
        <f t="shared" si="1"/>
        <v>0</v>
      </c>
      <c r="J16" s="103">
        <f t="shared" si="3"/>
        <v>0</v>
      </c>
      <c r="K16" s="103">
        <f t="shared" si="2"/>
        <v>0</v>
      </c>
      <c r="M16" s="28"/>
      <c r="O16" s="95" t="s">
        <v>138</v>
      </c>
      <c r="P16" s="97" t="s">
        <v>139</v>
      </c>
    </row>
    <row r="17" spans="2:16">
      <c r="B17" s="19" t="s">
        <v>121</v>
      </c>
      <c r="C17" s="107"/>
      <c r="D17" s="114"/>
      <c r="E17" s="102" t="s">
        <v>150</v>
      </c>
      <c r="F17" s="106">
        <v>0</v>
      </c>
      <c r="G17" s="102" t="s">
        <v>77</v>
      </c>
      <c r="H17" s="102">
        <v>0</v>
      </c>
      <c r="I17" s="106">
        <f t="shared" si="1"/>
        <v>0</v>
      </c>
      <c r="J17" s="103">
        <f t="shared" si="3"/>
        <v>0</v>
      </c>
      <c r="K17" s="103">
        <f t="shared" si="2"/>
        <v>0</v>
      </c>
      <c r="M17" s="28"/>
      <c r="O17" s="95" t="s">
        <v>140</v>
      </c>
      <c r="P17" s="97" t="s">
        <v>139</v>
      </c>
    </row>
    <row r="18" spans="2:16">
      <c r="B18" s="19" t="s">
        <v>122</v>
      </c>
      <c r="C18" s="107"/>
      <c r="D18" s="116"/>
      <c r="E18" s="102" t="s">
        <v>150</v>
      </c>
      <c r="F18" s="106">
        <v>0</v>
      </c>
      <c r="G18" s="102" t="s">
        <v>77</v>
      </c>
      <c r="H18" s="102">
        <v>0</v>
      </c>
      <c r="I18" s="106">
        <f t="shared" si="1"/>
        <v>0</v>
      </c>
      <c r="J18" s="103">
        <f t="shared" si="3"/>
        <v>0</v>
      </c>
      <c r="K18" s="103">
        <f t="shared" si="2"/>
        <v>0</v>
      </c>
      <c r="M18" s="28"/>
      <c r="O18" s="95" t="s">
        <v>141</v>
      </c>
      <c r="P18" s="97" t="s">
        <v>142</v>
      </c>
    </row>
    <row r="19" spans="2:16">
      <c r="B19" s="19" t="s">
        <v>125</v>
      </c>
      <c r="C19" s="107"/>
      <c r="D19" s="117"/>
      <c r="E19" s="102" t="s">
        <v>150</v>
      </c>
      <c r="F19" s="106">
        <v>0</v>
      </c>
      <c r="G19" s="102" t="s">
        <v>77</v>
      </c>
      <c r="H19" s="102">
        <v>0</v>
      </c>
      <c r="I19" s="106">
        <f t="shared" si="1"/>
        <v>0</v>
      </c>
      <c r="J19" s="103">
        <f t="shared" si="3"/>
        <v>0</v>
      </c>
      <c r="K19" s="103">
        <f t="shared" si="2"/>
        <v>0</v>
      </c>
      <c r="M19" s="28"/>
      <c r="O19" s="98" t="s">
        <v>143</v>
      </c>
      <c r="P19" s="99" t="s">
        <v>142</v>
      </c>
    </row>
    <row r="20" spans="2:16">
      <c r="B20" s="19" t="s">
        <v>126</v>
      </c>
      <c r="C20" s="107"/>
      <c r="D20" s="116"/>
      <c r="E20" s="102" t="s">
        <v>150</v>
      </c>
      <c r="F20" s="106">
        <v>0</v>
      </c>
      <c r="G20" s="102" t="s">
        <v>77</v>
      </c>
      <c r="H20" s="102">
        <v>0</v>
      </c>
      <c r="I20" s="106">
        <f t="shared" si="1"/>
        <v>0</v>
      </c>
      <c r="J20" s="103">
        <f t="shared" si="3"/>
        <v>0</v>
      </c>
      <c r="K20" s="103">
        <f t="shared" si="2"/>
        <v>0</v>
      </c>
      <c r="M20" s="28"/>
      <c r="O20" s="95" t="s">
        <v>161</v>
      </c>
      <c r="P20" s="96">
        <v>0.59</v>
      </c>
    </row>
    <row r="21" spans="2:16">
      <c r="B21" s="19" t="s">
        <v>127</v>
      </c>
      <c r="C21" s="107"/>
      <c r="D21" s="117"/>
      <c r="E21" s="102" t="s">
        <v>150</v>
      </c>
      <c r="F21" s="106">
        <v>0</v>
      </c>
      <c r="G21" s="102" t="s">
        <v>77</v>
      </c>
      <c r="H21" s="102">
        <v>0</v>
      </c>
      <c r="I21" s="106">
        <f t="shared" si="1"/>
        <v>0</v>
      </c>
      <c r="J21" s="103">
        <f t="shared" si="3"/>
        <v>0</v>
      </c>
      <c r="K21" s="103">
        <f t="shared" si="2"/>
        <v>0</v>
      </c>
      <c r="M21" s="28"/>
    </row>
    <row r="22" spans="2:16">
      <c r="B22" s="19" t="s">
        <v>128</v>
      </c>
      <c r="C22" s="107"/>
      <c r="D22" s="107"/>
      <c r="E22" s="102" t="s">
        <v>150</v>
      </c>
      <c r="F22" s="106">
        <v>0</v>
      </c>
      <c r="G22" s="102" t="s">
        <v>77</v>
      </c>
      <c r="H22" s="102">
        <v>0</v>
      </c>
      <c r="I22" s="106">
        <f t="shared" si="1"/>
        <v>0</v>
      </c>
      <c r="J22" s="103">
        <f t="shared" ref="J22" si="4">I22*$L$5</f>
        <v>0</v>
      </c>
      <c r="K22" s="103">
        <f t="shared" ref="K22" si="5">H22*J22</f>
        <v>0</v>
      </c>
      <c r="M22" s="28"/>
    </row>
    <row r="23" spans="2:16">
      <c r="B23" s="19" t="s">
        <v>153</v>
      </c>
      <c r="C23" s="107"/>
      <c r="D23" s="107"/>
      <c r="E23" s="102" t="s">
        <v>150</v>
      </c>
      <c r="F23" s="106">
        <v>0</v>
      </c>
      <c r="G23" s="102" t="s">
        <v>77</v>
      </c>
      <c r="H23" s="102">
        <v>0</v>
      </c>
      <c r="I23" s="106">
        <f t="shared" si="1"/>
        <v>0</v>
      </c>
      <c r="J23" s="103">
        <f t="shared" ref="J23:J24" si="6">I23*$L$5</f>
        <v>0</v>
      </c>
      <c r="K23" s="103">
        <f t="shared" ref="K23:K24" si="7">H23*J23</f>
        <v>0</v>
      </c>
      <c r="M23" s="28"/>
    </row>
    <row r="24" spans="2:16">
      <c r="B24" s="19" t="s">
        <v>154</v>
      </c>
      <c r="C24" s="107"/>
      <c r="D24" s="107"/>
      <c r="E24" s="102" t="s">
        <v>150</v>
      </c>
      <c r="F24" s="106">
        <v>0</v>
      </c>
      <c r="G24" s="102" t="s">
        <v>77</v>
      </c>
      <c r="H24" s="102">
        <v>0</v>
      </c>
      <c r="I24" s="106">
        <f t="shared" si="1"/>
        <v>0</v>
      </c>
      <c r="J24" s="103">
        <f t="shared" si="6"/>
        <v>0</v>
      </c>
      <c r="K24" s="103">
        <f t="shared" si="7"/>
        <v>0</v>
      </c>
      <c r="M24" s="28"/>
    </row>
    <row r="25" spans="2:16">
      <c r="B25" s="19"/>
      <c r="C25" s="20"/>
      <c r="E25" s="2"/>
      <c r="F25" s="86"/>
      <c r="H25" s="2"/>
      <c r="I25" s="86"/>
      <c r="J25" s="87"/>
      <c r="K25" s="87"/>
      <c r="M25" s="28"/>
    </row>
    <row r="26" spans="2:16">
      <c r="B26" s="19"/>
      <c r="C26" s="20"/>
      <c r="E26" s="2"/>
      <c r="F26" s="86"/>
      <c r="G26" s="104"/>
      <c r="H26" s="2"/>
      <c r="I26" s="86"/>
      <c r="J26" s="87"/>
      <c r="K26" s="87"/>
      <c r="M26" s="28"/>
    </row>
    <row r="27" spans="2:16">
      <c r="B27" s="19"/>
      <c r="C27" s="20"/>
      <c r="E27" s="2"/>
      <c r="F27" s="86"/>
      <c r="H27" s="2"/>
      <c r="I27" s="86"/>
      <c r="J27" s="87"/>
      <c r="K27" s="87"/>
      <c r="M27" s="28"/>
    </row>
    <row r="28" spans="2:16">
      <c r="B28" s="19"/>
      <c r="C28" s="20"/>
      <c r="E28" s="2"/>
      <c r="F28" s="86"/>
      <c r="H28" s="2"/>
      <c r="I28" s="86"/>
      <c r="J28" s="87"/>
      <c r="K28" s="87"/>
      <c r="M28" s="28"/>
    </row>
    <row r="30" spans="2:16">
      <c r="D30" s="26" t="s">
        <v>27</v>
      </c>
      <c r="E30" s="26"/>
      <c r="F30" s="26"/>
      <c r="I30" t="s">
        <v>6</v>
      </c>
      <c r="K30" s="28">
        <f>+SUM(K8:K24)</f>
        <v>21647925.974999998</v>
      </c>
    </row>
    <row r="32" spans="2:16">
      <c r="K32" s="28"/>
    </row>
  </sheetData>
  <mergeCells count="1">
    <mergeCell ref="B2:J2"/>
  </mergeCells>
  <phoneticPr fontId="9" type="noConversion"/>
  <hyperlinks>
    <hyperlink ref="D30" location="'RESUMEN GENERAL'!A1" display="ATRÁS (Resumen General)" xr:uid="{00000000-0004-0000-0400-000000000000}"/>
  </hyperlinks>
  <pageMargins left="0.75" right="0.75" top="1" bottom="1" header="0" footer="0"/>
  <pageSetup paperSize="9" scale="46" orientation="portrait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G20"/>
  <sheetViews>
    <sheetView zoomScale="130" zoomScaleNormal="130" workbookViewId="0">
      <selection activeCell="F9" sqref="F9"/>
    </sheetView>
  </sheetViews>
  <sheetFormatPr baseColWidth="10" defaultRowHeight="15"/>
  <cols>
    <col min="2" max="2" width="5.42578125" bestFit="1" customWidth="1"/>
    <col min="3" max="3" width="37.42578125" customWidth="1"/>
    <col min="4" max="7" width="14.85546875" customWidth="1"/>
  </cols>
  <sheetData>
    <row r="1" spans="2:7" ht="15.75" thickBot="1"/>
    <row r="2" spans="2:7" ht="57.75" customHeight="1" thickBot="1">
      <c r="B2" s="125" t="s">
        <v>3</v>
      </c>
      <c r="C2" s="126"/>
      <c r="D2" s="126"/>
      <c r="E2" s="126"/>
      <c r="F2" s="126"/>
      <c r="G2" s="127"/>
    </row>
    <row r="3" spans="2:7" ht="15.75">
      <c r="B3" s="14"/>
      <c r="C3" s="15"/>
      <c r="D3" s="14"/>
      <c r="E3" s="14"/>
      <c r="F3" s="14"/>
      <c r="G3" s="14"/>
    </row>
    <row r="4" spans="2:7">
      <c r="B4" s="38"/>
      <c r="C4" s="39"/>
      <c r="D4" s="38"/>
      <c r="E4" s="38"/>
      <c r="F4" s="38"/>
      <c r="G4" s="38"/>
    </row>
    <row r="5" spans="2:7" ht="15.75">
      <c r="B5" s="16" t="s">
        <v>24</v>
      </c>
      <c r="C5" s="17" t="s">
        <v>1</v>
      </c>
      <c r="D5" s="38"/>
      <c r="E5" s="38"/>
      <c r="F5" s="38"/>
      <c r="G5" s="38"/>
    </row>
    <row r="6" spans="2:7" ht="15.75">
      <c r="B6" s="18"/>
      <c r="C6" s="17"/>
      <c r="D6" s="38"/>
      <c r="E6" s="38"/>
      <c r="F6" s="38"/>
      <c r="G6" s="38"/>
    </row>
    <row r="7" spans="2:7">
      <c r="B7" s="9" t="s">
        <v>4</v>
      </c>
      <c r="C7" s="9" t="s">
        <v>12</v>
      </c>
      <c r="D7" s="10" t="s">
        <v>17</v>
      </c>
      <c r="E7" s="10" t="s">
        <v>14</v>
      </c>
      <c r="F7" s="10" t="s">
        <v>15</v>
      </c>
      <c r="G7" s="10" t="s">
        <v>16</v>
      </c>
    </row>
    <row r="8" spans="2:7">
      <c r="B8" s="19" t="s">
        <v>56</v>
      </c>
      <c r="C8" s="20"/>
      <c r="D8" s="38" t="s">
        <v>19</v>
      </c>
      <c r="E8" s="38">
        <v>1</v>
      </c>
      <c r="F8" s="46">
        <v>400000</v>
      </c>
      <c r="G8" s="46">
        <f>F8*E8</f>
        <v>400000</v>
      </c>
    </row>
    <row r="9" spans="2:7">
      <c r="B9" s="19" t="s">
        <v>57</v>
      </c>
      <c r="C9" s="39"/>
      <c r="D9" s="38" t="s">
        <v>19</v>
      </c>
      <c r="E9" s="38"/>
      <c r="F9" s="46"/>
      <c r="G9" s="46">
        <f>F9*E9</f>
        <v>0</v>
      </c>
    </row>
    <row r="10" spans="2:7">
      <c r="B10" s="19" t="s">
        <v>58</v>
      </c>
      <c r="C10" s="39"/>
      <c r="D10" s="38" t="s">
        <v>19</v>
      </c>
      <c r="E10" s="38"/>
      <c r="F10" s="46"/>
      <c r="G10" s="46">
        <f>F10*E10</f>
        <v>0</v>
      </c>
    </row>
    <row r="11" spans="2:7">
      <c r="B11" s="19" t="s">
        <v>59</v>
      </c>
      <c r="C11" s="39"/>
      <c r="D11" s="38" t="s">
        <v>19</v>
      </c>
      <c r="E11" s="38"/>
      <c r="F11" s="46"/>
      <c r="G11" s="46">
        <f>F11*E11</f>
        <v>0</v>
      </c>
    </row>
    <row r="12" spans="2:7">
      <c r="B12" s="19" t="s">
        <v>60</v>
      </c>
      <c r="C12" s="39"/>
      <c r="D12" s="38" t="s">
        <v>19</v>
      </c>
      <c r="E12" s="38"/>
      <c r="F12" s="46"/>
      <c r="G12" s="46">
        <f>F12*E12</f>
        <v>0</v>
      </c>
    </row>
    <row r="13" spans="2:7">
      <c r="B13" s="19"/>
      <c r="C13" s="39"/>
      <c r="D13" s="38"/>
      <c r="E13" s="40"/>
      <c r="F13" s="41"/>
      <c r="G13" s="41"/>
    </row>
    <row r="14" spans="2:7">
      <c r="B14" s="38"/>
      <c r="C14" s="26" t="s">
        <v>27</v>
      </c>
      <c r="D14" s="38"/>
      <c r="E14" s="40"/>
      <c r="F14" t="s">
        <v>6</v>
      </c>
      <c r="G14" s="28">
        <f>+SUM(G8:G12)</f>
        <v>400000</v>
      </c>
    </row>
    <row r="15" spans="2:7">
      <c r="B15" s="19"/>
      <c r="C15" s="39"/>
      <c r="D15" s="38"/>
      <c r="E15" s="40"/>
      <c r="F15" s="41"/>
      <c r="G15" s="41"/>
    </row>
    <row r="16" spans="2:7">
      <c r="B16" s="38"/>
    </row>
    <row r="17" spans="2:2">
      <c r="B17" s="19"/>
    </row>
    <row r="18" spans="2:2">
      <c r="B18" s="38"/>
    </row>
    <row r="19" spans="2:2">
      <c r="B19" s="19"/>
    </row>
    <row r="20" spans="2:2">
      <c r="B20" s="38"/>
    </row>
  </sheetData>
  <mergeCells count="1">
    <mergeCell ref="B2:G2"/>
  </mergeCells>
  <phoneticPr fontId="9" type="noConversion"/>
  <hyperlinks>
    <hyperlink ref="C14" location="'RESUMEN GENERAL'!A1" display="ATRÁS (Resumen General)" xr:uid="{00000000-0004-0000-0500-000000000000}"/>
  </hyperlinks>
  <pageMargins left="0.75" right="0.75" top="1" bottom="1" header="0" footer="0"/>
  <pageSetup scale="7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H23"/>
  <sheetViews>
    <sheetView zoomScale="130" zoomScaleNormal="130" workbookViewId="0">
      <selection activeCell="C8" sqref="C8:H12"/>
    </sheetView>
  </sheetViews>
  <sheetFormatPr baseColWidth="10" defaultRowHeight="15"/>
  <cols>
    <col min="2" max="2" width="5.42578125" bestFit="1" customWidth="1"/>
    <col min="3" max="3" width="23.7109375" customWidth="1"/>
    <col min="4" max="7" width="14.85546875" customWidth="1"/>
    <col min="8" max="8" width="11.140625" bestFit="1" customWidth="1"/>
    <col min="9" max="9" width="16.5703125" bestFit="1" customWidth="1"/>
  </cols>
  <sheetData>
    <row r="1" spans="2:8" ht="15.75" thickBot="1"/>
    <row r="2" spans="2:8" ht="57.75" customHeight="1" thickBot="1">
      <c r="B2" s="125" t="s">
        <v>3</v>
      </c>
      <c r="C2" s="126"/>
      <c r="D2" s="126"/>
      <c r="E2" s="126"/>
      <c r="F2" s="126"/>
      <c r="G2" s="127"/>
    </row>
    <row r="3" spans="2:8" ht="15.75">
      <c r="B3" s="14"/>
      <c r="C3" s="15"/>
      <c r="D3" s="14"/>
      <c r="E3" s="14"/>
      <c r="F3" s="14"/>
      <c r="G3" s="14"/>
    </row>
    <row r="4" spans="2:8">
      <c r="B4" s="38"/>
      <c r="C4" s="39"/>
      <c r="D4" s="38"/>
      <c r="E4" s="38"/>
      <c r="F4" s="38"/>
      <c r="G4" s="38"/>
    </row>
    <row r="5" spans="2:8" ht="15.75">
      <c r="B5" s="16">
        <v>6</v>
      </c>
      <c r="C5" s="17" t="s">
        <v>0</v>
      </c>
      <c r="D5" s="38"/>
      <c r="E5" s="38"/>
      <c r="F5" s="38"/>
      <c r="G5" s="38"/>
    </row>
    <row r="6" spans="2:8" ht="15.75">
      <c r="B6" s="18"/>
      <c r="C6" s="17"/>
      <c r="D6" s="38"/>
      <c r="E6" s="38"/>
      <c r="F6" s="38"/>
      <c r="G6" s="38"/>
    </row>
    <row r="7" spans="2:8">
      <c r="B7" s="9" t="s">
        <v>4</v>
      </c>
      <c r="C7" s="9" t="s">
        <v>12</v>
      </c>
      <c r="D7" s="10" t="s">
        <v>17</v>
      </c>
      <c r="E7" s="10" t="s">
        <v>14</v>
      </c>
      <c r="F7" s="10" t="s">
        <v>15</v>
      </c>
      <c r="G7" s="10" t="s">
        <v>16</v>
      </c>
      <c r="H7" s="57">
        <v>0.15</v>
      </c>
    </row>
    <row r="8" spans="2:8">
      <c r="B8" s="19" t="s">
        <v>61</v>
      </c>
      <c r="C8" s="39" t="s">
        <v>85</v>
      </c>
      <c r="D8" s="38" t="s">
        <v>82</v>
      </c>
      <c r="E8" s="29">
        <v>1</v>
      </c>
      <c r="F8" s="47">
        <v>0</v>
      </c>
      <c r="G8" s="47">
        <f t="shared" ref="G8:G14" si="0">+F8*E8</f>
        <v>0</v>
      </c>
      <c r="H8" s="63">
        <f>F8/(1-$H$7)</f>
        <v>0</v>
      </c>
    </row>
    <row r="9" spans="2:8">
      <c r="B9" s="19" t="s">
        <v>62</v>
      </c>
      <c r="C9" s="39" t="s">
        <v>86</v>
      </c>
      <c r="D9" s="38" t="s">
        <v>82</v>
      </c>
      <c r="E9" s="29">
        <v>1</v>
      </c>
      <c r="F9" s="47">
        <v>0</v>
      </c>
      <c r="G9" s="47">
        <f t="shared" si="0"/>
        <v>0</v>
      </c>
      <c r="H9" s="63">
        <f t="shared" ref="H9:H14" si="1">F9/(1-$H$7)</f>
        <v>0</v>
      </c>
    </row>
    <row r="10" spans="2:8">
      <c r="B10" s="19" t="s">
        <v>63</v>
      </c>
      <c r="C10" s="39" t="s">
        <v>87</v>
      </c>
      <c r="D10" s="38" t="s">
        <v>82</v>
      </c>
      <c r="E10" s="29">
        <v>1</v>
      </c>
      <c r="F10" s="47">
        <v>0</v>
      </c>
      <c r="G10" s="47">
        <f t="shared" si="0"/>
        <v>0</v>
      </c>
      <c r="H10" s="63">
        <f t="shared" si="1"/>
        <v>0</v>
      </c>
    </row>
    <row r="11" spans="2:8">
      <c r="B11" s="19" t="s">
        <v>64</v>
      </c>
      <c r="C11" s="39" t="s">
        <v>88</v>
      </c>
      <c r="D11" s="38" t="s">
        <v>82</v>
      </c>
      <c r="E11" s="38">
        <v>1</v>
      </c>
      <c r="F11" s="47">
        <v>0</v>
      </c>
      <c r="G11" s="47">
        <f t="shared" si="0"/>
        <v>0</v>
      </c>
      <c r="H11" s="63">
        <f t="shared" si="1"/>
        <v>0</v>
      </c>
    </row>
    <row r="12" spans="2:8">
      <c r="B12" s="19" t="s">
        <v>65</v>
      </c>
      <c r="C12" s="39" t="s">
        <v>92</v>
      </c>
      <c r="D12" s="38" t="s">
        <v>82</v>
      </c>
      <c r="E12" s="38">
        <v>1</v>
      </c>
      <c r="F12" s="47">
        <v>0</v>
      </c>
      <c r="G12" s="47">
        <f t="shared" si="0"/>
        <v>0</v>
      </c>
      <c r="H12" s="63">
        <f t="shared" si="1"/>
        <v>0</v>
      </c>
    </row>
    <row r="13" spans="2:8">
      <c r="B13" s="19" t="s">
        <v>78</v>
      </c>
      <c r="C13" s="39"/>
      <c r="D13" s="38" t="s">
        <v>18</v>
      </c>
      <c r="E13" s="38"/>
      <c r="F13" s="47">
        <v>0</v>
      </c>
      <c r="G13" s="47">
        <f t="shared" si="0"/>
        <v>0</v>
      </c>
      <c r="H13" s="63">
        <f t="shared" si="1"/>
        <v>0</v>
      </c>
    </row>
    <row r="14" spans="2:8">
      <c r="B14" s="19" t="s">
        <v>79</v>
      </c>
      <c r="C14" s="39"/>
      <c r="D14" s="38" t="s">
        <v>18</v>
      </c>
      <c r="E14" s="38"/>
      <c r="F14" s="47">
        <v>0</v>
      </c>
      <c r="G14" s="47">
        <f t="shared" si="0"/>
        <v>0</v>
      </c>
      <c r="H14" s="63">
        <f t="shared" si="1"/>
        <v>0</v>
      </c>
    </row>
    <row r="15" spans="2:8">
      <c r="B15" s="19"/>
      <c r="C15" s="39"/>
      <c r="D15" s="38"/>
      <c r="E15" s="40"/>
      <c r="F15" s="41"/>
      <c r="G15" s="32"/>
    </row>
    <row r="16" spans="2:8">
      <c r="B16" s="19"/>
      <c r="C16" s="39"/>
      <c r="D16" s="38"/>
      <c r="E16" s="40"/>
      <c r="F16" s="41"/>
      <c r="G16" s="41"/>
    </row>
    <row r="17" spans="2:7">
      <c r="B17" s="38"/>
      <c r="C17" s="26" t="s">
        <v>27</v>
      </c>
      <c r="D17" s="38"/>
      <c r="E17" s="40"/>
      <c r="F17" t="s">
        <v>6</v>
      </c>
      <c r="G17" s="28">
        <f>+SUM(G8:G14)</f>
        <v>0</v>
      </c>
    </row>
    <row r="18" spans="2:7">
      <c r="B18" s="19"/>
      <c r="C18" s="39"/>
      <c r="D18" s="38"/>
      <c r="E18" s="40"/>
      <c r="F18" s="41"/>
      <c r="G18" s="41"/>
    </row>
    <row r="19" spans="2:7">
      <c r="B19" s="38"/>
    </row>
    <row r="20" spans="2:7">
      <c r="B20" s="19"/>
    </row>
    <row r="21" spans="2:7">
      <c r="B21" s="38"/>
    </row>
    <row r="22" spans="2:7">
      <c r="B22" s="19"/>
    </row>
    <row r="23" spans="2:7">
      <c r="B23" s="38"/>
    </row>
  </sheetData>
  <mergeCells count="1">
    <mergeCell ref="B2:G2"/>
  </mergeCells>
  <phoneticPr fontId="9" type="noConversion"/>
  <hyperlinks>
    <hyperlink ref="C17" location="'RESUMEN GENERAL'!A1" display="ATRÁS (Resumen General)" xr:uid="{00000000-0004-0000-0600-000000000000}"/>
  </hyperlinks>
  <pageMargins left="0.75" right="0.75" top="1" bottom="1" header="0" footer="0"/>
  <pageSetup scale="7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I21"/>
  <sheetViews>
    <sheetView zoomScale="124" zoomScaleNormal="124" workbookViewId="0">
      <selection activeCell="E8" sqref="E8:E12"/>
    </sheetView>
  </sheetViews>
  <sheetFormatPr baseColWidth="10" defaultRowHeight="15"/>
  <cols>
    <col min="2" max="2" width="5.42578125" bestFit="1" customWidth="1"/>
    <col min="3" max="3" width="31.5703125" customWidth="1"/>
    <col min="4" max="4" width="8.28515625" bestFit="1" customWidth="1"/>
    <col min="5" max="5" width="10.28515625" bestFit="1" customWidth="1"/>
    <col min="6" max="6" width="14.85546875" customWidth="1"/>
    <col min="7" max="7" width="12.28515625" bestFit="1" customWidth="1"/>
  </cols>
  <sheetData>
    <row r="1" spans="2:9" ht="15.75" thickBot="1"/>
    <row r="2" spans="2:9" ht="57.75" customHeight="1" thickBot="1">
      <c r="B2" s="125" t="s">
        <v>3</v>
      </c>
      <c r="C2" s="126"/>
      <c r="D2" s="126"/>
      <c r="E2" s="126"/>
      <c r="F2" s="126"/>
      <c r="G2" s="127"/>
    </row>
    <row r="3" spans="2:9" ht="15.75">
      <c r="B3" s="14"/>
      <c r="C3" s="15"/>
      <c r="D3" s="14"/>
      <c r="E3" s="14"/>
      <c r="F3" s="14"/>
      <c r="G3" s="14"/>
    </row>
    <row r="4" spans="2:9">
      <c r="B4" s="29"/>
      <c r="C4" s="30"/>
      <c r="D4" s="29"/>
      <c r="E4" s="38"/>
      <c r="F4" s="38"/>
      <c r="H4" s="38"/>
    </row>
    <row r="5" spans="2:9" ht="15.75">
      <c r="B5" s="16">
        <v>7</v>
      </c>
      <c r="C5" s="17" t="s">
        <v>20</v>
      </c>
      <c r="D5" s="29"/>
      <c r="E5" s="38"/>
      <c r="F5" s="38"/>
      <c r="H5" s="29"/>
    </row>
    <row r="6" spans="2:9" ht="15.75">
      <c r="B6" s="18"/>
      <c r="C6" s="17"/>
      <c r="D6" s="29"/>
      <c r="E6" s="29"/>
      <c r="F6" s="29"/>
      <c r="G6" s="29"/>
    </row>
    <row r="7" spans="2:9">
      <c r="B7" s="9" t="s">
        <v>4</v>
      </c>
      <c r="C7" s="9" t="s">
        <v>12</v>
      </c>
      <c r="D7" s="10" t="s">
        <v>17</v>
      </c>
      <c r="E7" s="10" t="s">
        <v>14</v>
      </c>
      <c r="F7" s="10" t="s">
        <v>15</v>
      </c>
      <c r="G7" s="10" t="s">
        <v>16</v>
      </c>
    </row>
    <row r="8" spans="2:9">
      <c r="B8" s="19" t="s">
        <v>66</v>
      </c>
      <c r="C8" s="39" t="s">
        <v>76</v>
      </c>
      <c r="D8" s="29" t="s">
        <v>19</v>
      </c>
      <c r="E8" s="65">
        <v>4</v>
      </c>
      <c r="F8" s="47">
        <v>100000</v>
      </c>
      <c r="G8" s="47">
        <f>+F8*E8</f>
        <v>400000</v>
      </c>
      <c r="I8" s="66" t="s">
        <v>152</v>
      </c>
    </row>
    <row r="9" spans="2:9">
      <c r="B9" s="38" t="s">
        <v>67</v>
      </c>
      <c r="C9" s="39" t="s">
        <v>71</v>
      </c>
      <c r="D9" s="29" t="s">
        <v>19</v>
      </c>
      <c r="E9" s="65">
        <v>4</v>
      </c>
      <c r="F9" s="47">
        <v>50000</v>
      </c>
      <c r="G9" s="47">
        <f t="shared" ref="G9:G14" si="0">+F9*E9</f>
        <v>200000</v>
      </c>
    </row>
    <row r="10" spans="2:9">
      <c r="B10" s="19" t="s">
        <v>68</v>
      </c>
      <c r="C10" t="s">
        <v>72</v>
      </c>
      <c r="D10" s="29" t="s">
        <v>19</v>
      </c>
      <c r="E10" s="65">
        <v>4</v>
      </c>
      <c r="F10" s="47">
        <v>20000</v>
      </c>
      <c r="G10" s="47">
        <f t="shared" si="0"/>
        <v>80000</v>
      </c>
    </row>
    <row r="11" spans="2:9">
      <c r="B11" s="38" t="s">
        <v>69</v>
      </c>
      <c r="C11" s="39" t="s">
        <v>97</v>
      </c>
      <c r="D11" s="38" t="s">
        <v>19</v>
      </c>
      <c r="E11" s="65">
        <v>4</v>
      </c>
      <c r="F11" s="47">
        <v>50000</v>
      </c>
      <c r="G11" s="47">
        <f t="shared" si="0"/>
        <v>200000</v>
      </c>
    </row>
    <row r="12" spans="2:9">
      <c r="B12" s="19" t="s">
        <v>70</v>
      </c>
      <c r="C12" t="s">
        <v>98</v>
      </c>
      <c r="D12" s="38" t="s">
        <v>19</v>
      </c>
      <c r="E12" s="65">
        <v>1</v>
      </c>
      <c r="F12" s="47">
        <v>250000</v>
      </c>
      <c r="G12" s="47">
        <f t="shared" si="0"/>
        <v>250000</v>
      </c>
    </row>
    <row r="13" spans="2:9">
      <c r="B13" s="19" t="s">
        <v>99</v>
      </c>
      <c r="C13" t="s">
        <v>100</v>
      </c>
      <c r="D13" s="38" t="s">
        <v>19</v>
      </c>
      <c r="E13" s="65">
        <v>0</v>
      </c>
      <c r="F13" s="47">
        <v>200000</v>
      </c>
      <c r="G13" s="47">
        <f t="shared" si="0"/>
        <v>0</v>
      </c>
    </row>
    <row r="14" spans="2:9">
      <c r="B14" s="67" t="s">
        <v>106</v>
      </c>
      <c r="C14" s="68" t="s">
        <v>107</v>
      </c>
      <c r="D14" s="69" t="s">
        <v>19</v>
      </c>
      <c r="E14" s="65">
        <v>0</v>
      </c>
      <c r="F14" s="70"/>
      <c r="G14" s="71">
        <f t="shared" si="0"/>
        <v>0</v>
      </c>
    </row>
    <row r="16" spans="2:9">
      <c r="B16" s="29"/>
      <c r="C16" s="26" t="s">
        <v>27</v>
      </c>
      <c r="D16" s="29"/>
      <c r="E16" s="31"/>
      <c r="F16" t="s">
        <v>6</v>
      </c>
      <c r="G16" s="28">
        <f>+SUM(G8:G14)</f>
        <v>1130000</v>
      </c>
    </row>
    <row r="17" spans="2:7">
      <c r="B17" s="29"/>
    </row>
    <row r="18" spans="2:7">
      <c r="B18" s="19"/>
      <c r="G18" s="63"/>
    </row>
    <row r="19" spans="2:7">
      <c r="B19" s="29"/>
    </row>
    <row r="20" spans="2:7">
      <c r="B20" s="19"/>
    </row>
    <row r="21" spans="2:7">
      <c r="B21" s="29"/>
    </row>
  </sheetData>
  <mergeCells count="1">
    <mergeCell ref="B2:G2"/>
  </mergeCells>
  <phoneticPr fontId="9" type="noConversion"/>
  <hyperlinks>
    <hyperlink ref="C16" location="'RESUMEN GENERAL'!A1" display="ATRÁS (Resumen General)" xr:uid="{00000000-0004-0000-0700-000000000000}"/>
  </hyperlinks>
  <pageMargins left="0.75" right="0.75" top="1" bottom="1" header="0" footer="0"/>
  <pageSetup scale="85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F0EF-997A-48F7-AE4E-CC81A323BCE0}">
  <dimension ref="A1:J43"/>
  <sheetViews>
    <sheetView zoomScale="160" zoomScaleNormal="160" workbookViewId="0">
      <selection activeCell="B27" sqref="B27"/>
    </sheetView>
  </sheetViews>
  <sheetFormatPr baseColWidth="10" defaultRowHeight="15"/>
  <cols>
    <col min="1" max="1" width="5.140625" style="2" customWidth="1"/>
    <col min="2" max="2" width="52.42578125" bestFit="1" customWidth="1"/>
    <col min="3" max="3" width="8" style="2" bestFit="1" customWidth="1"/>
    <col min="4" max="5" width="13.140625" bestFit="1" customWidth="1"/>
    <col min="6" max="6" width="14" bestFit="1" customWidth="1"/>
    <col min="7" max="7" width="12.42578125" bestFit="1" customWidth="1"/>
    <col min="8" max="8" width="6.5703125" customWidth="1"/>
    <col min="9" max="9" width="15.85546875" bestFit="1" customWidth="1"/>
    <col min="10" max="10" width="14.5703125" bestFit="1" customWidth="1"/>
  </cols>
  <sheetData>
    <row r="1" spans="1:10">
      <c r="I1" t="s">
        <v>155</v>
      </c>
      <c r="J1" s="57">
        <f>+'RESUMEN GENERAL'!E16</f>
        <v>0.3</v>
      </c>
    </row>
    <row r="2" spans="1:10">
      <c r="A2" s="90" t="s">
        <v>157</v>
      </c>
      <c r="B2" s="89" t="s">
        <v>12</v>
      </c>
      <c r="C2" s="94" t="s">
        <v>158</v>
      </c>
      <c r="D2" s="89" t="s">
        <v>15</v>
      </c>
      <c r="E2" s="113" t="s">
        <v>163</v>
      </c>
      <c r="F2" s="89" t="s">
        <v>6</v>
      </c>
      <c r="G2" s="113" t="s">
        <v>156</v>
      </c>
      <c r="I2" t="s">
        <v>113</v>
      </c>
      <c r="J2" t="s">
        <v>160</v>
      </c>
    </row>
    <row r="3" spans="1:10">
      <c r="A3" s="90">
        <v>1</v>
      </c>
      <c r="B3" s="89" t="str">
        <f>+Equipos!C8&amp;" - "&amp;Equipos!D8</f>
        <v>6SL3210-1PE33-7AL0 - SINAMICS PM240-2 IP20 FSG A 3AC 380-480V 200.00kW</v>
      </c>
      <c r="C3" s="90">
        <f>+Equipos!H8</f>
        <v>1</v>
      </c>
      <c r="D3" s="111">
        <f>+I3/(1-$J$1)</f>
        <v>22640479.392857142</v>
      </c>
      <c r="E3" s="111">
        <f>+Tabla6[[#This Row],[COSTO UNIT.]]+$F$15/COUNTA(B3:B14)</f>
        <v>22640479.392857142</v>
      </c>
      <c r="F3" s="112">
        <f>Tabla6[[#This Row],[CANT.]]*Tabla6[[#This Row],[COSTO UNIT.]]</f>
        <v>22640479.392857142</v>
      </c>
      <c r="G3" s="91">
        <f>+Tabla6[[#This Row],[CANT.]]*Tabla6[[#This Row],[C/U c/s]]</f>
        <v>22640479.392857142</v>
      </c>
      <c r="I3" s="66">
        <f>+Equipos!J8</f>
        <v>15848335.574999997</v>
      </c>
      <c r="J3" s="66">
        <f>+I3/(1-$J$1)</f>
        <v>22640479.392857142</v>
      </c>
    </row>
    <row r="4" spans="1:10">
      <c r="A4" s="90">
        <v>2</v>
      </c>
      <c r="B4" s="89" t="str">
        <f>+Equipos!C9&amp;" - "&amp;Equipos!D9</f>
        <v>6SL3244-0BB12-1PA1 - SINAMICS CU240E-2 DP</v>
      </c>
      <c r="C4" s="90">
        <f>+Equipos!H9</f>
        <v>1</v>
      </c>
      <c r="D4" s="111">
        <f t="shared" ref="D4:D11" si="0">+I4/(1-$J$1)</f>
        <v>582932.89285714272</v>
      </c>
      <c r="E4" s="111">
        <f>+Tabla6[[#This Row],[COSTO UNIT.]]+$F$15/9</f>
        <v>582932.89285714272</v>
      </c>
      <c r="F4" s="112">
        <f>Tabla6[[#This Row],[CANT.]]*Tabla6[[#This Row],[COSTO UNIT.]]</f>
        <v>582932.89285714272</v>
      </c>
      <c r="G4" s="91">
        <f>+Tabla6[[#This Row],[CANT.]]*Tabla6[[#This Row],[C/U c/s]]</f>
        <v>582932.89285714272</v>
      </c>
      <c r="I4" s="66">
        <f>+Equipos!J9</f>
        <v>408053.02499999991</v>
      </c>
      <c r="J4" s="66">
        <f t="shared" ref="J4:J15" si="1">+I4/(1-$J$1)</f>
        <v>582932.89285714272</v>
      </c>
    </row>
    <row r="5" spans="1:10">
      <c r="A5" s="90">
        <v>3</v>
      </c>
      <c r="B5" s="89" t="str">
        <f>+Equipos!C10&amp;" - "&amp;Equipos!D10</f>
        <v>6SL3255-0AA00-4JA2 - Intelligent Operator Panel IOP-2</v>
      </c>
      <c r="C5" s="90">
        <f>+Equipos!H10</f>
        <v>1</v>
      </c>
      <c r="D5" s="111">
        <f t="shared" si="0"/>
        <v>309455.03571428568</v>
      </c>
      <c r="E5" s="111">
        <f>+Tabla6[[#This Row],[COSTO UNIT.]]+$F$15/9</f>
        <v>309455.03571428568</v>
      </c>
      <c r="F5" s="112">
        <f>Tabla6[[#This Row],[CANT.]]*Tabla6[[#This Row],[COSTO UNIT.]]</f>
        <v>309455.03571428568</v>
      </c>
      <c r="G5" s="91">
        <f>+Tabla6[[#This Row],[CANT.]]*Tabla6[[#This Row],[C/U c/s]]</f>
        <v>309455.03571428568</v>
      </c>
      <c r="I5" s="66">
        <f>+Equipos!J10</f>
        <v>216618.52499999997</v>
      </c>
      <c r="J5" s="66">
        <f t="shared" si="1"/>
        <v>309455.03571428568</v>
      </c>
    </row>
    <row r="6" spans="1:10">
      <c r="A6" s="90">
        <v>4</v>
      </c>
      <c r="B6" s="89" t="str">
        <f>+Equipos!C11&amp;" - "&amp;Equipos!D11</f>
        <v>6SL3256-0AP00-0JA0 - Door mounting kit for IOP-2/BOP-2 incl. 5m connecting cable</v>
      </c>
      <c r="C6" s="90">
        <f>+Equipos!H11</f>
        <v>1</v>
      </c>
      <c r="D6" s="111">
        <f t="shared" si="0"/>
        <v>62494.392857142855</v>
      </c>
      <c r="E6" s="111">
        <f>+Tabla6[[#This Row],[COSTO UNIT.]]+$F$15/9</f>
        <v>62494.392857142855</v>
      </c>
      <c r="F6" s="112">
        <f>Tabla6[[#This Row],[CANT.]]*Tabla6[[#This Row],[COSTO UNIT.]]</f>
        <v>62494.392857142855</v>
      </c>
      <c r="G6" s="91">
        <f>+Tabla6[[#This Row],[CANT.]]*Tabla6[[#This Row],[C/U c/s]]</f>
        <v>62494.392857142855</v>
      </c>
      <c r="I6" s="66">
        <f>+Equipos!J11</f>
        <v>43746.074999999997</v>
      </c>
      <c r="J6" s="66">
        <f t="shared" si="1"/>
        <v>62494.392857142855</v>
      </c>
    </row>
    <row r="7" spans="1:10">
      <c r="A7" s="90">
        <v>5</v>
      </c>
      <c r="B7" s="89" t="str">
        <f>+Equipos!C12&amp;" - "&amp;Equipos!D12</f>
        <v>3NA3260 - LV HRC fuse link, NH2 400A AC 500V/ DC 440V</v>
      </c>
      <c r="C7" s="90">
        <f>+Equipos!H12</f>
        <v>3</v>
      </c>
      <c r="D7" s="111">
        <f t="shared" si="0"/>
        <v>43647.75</v>
      </c>
      <c r="E7" s="111">
        <f>+Tabla6[[#This Row],[COSTO UNIT.]]+$F$15/9</f>
        <v>43647.75</v>
      </c>
      <c r="F7" s="112">
        <f>Tabla6[[#This Row],[CANT.]]*Tabla6[[#This Row],[COSTO UNIT.]]</f>
        <v>130943.25</v>
      </c>
      <c r="G7" s="91">
        <f>+Tabla6[[#This Row],[CANT.]]*Tabla6[[#This Row],[C/U c/s]]</f>
        <v>130943.25</v>
      </c>
      <c r="I7" s="66">
        <f>+Equipos!J12</f>
        <v>30553.424999999996</v>
      </c>
      <c r="J7" s="66">
        <f t="shared" si="1"/>
        <v>43647.75</v>
      </c>
    </row>
    <row r="8" spans="1:10">
      <c r="A8" s="90">
        <v>6</v>
      </c>
      <c r="B8" s="89" t="str">
        <f>+Equipos!C13&amp;" - "&amp;Equipos!D13</f>
        <v>3RT1076-6AP36 - CONTACTOR, 250KW/400V/AC-3</v>
      </c>
      <c r="C8" s="90">
        <f>+Equipos!H13</f>
        <v>1</v>
      </c>
      <c r="D8" s="111">
        <f t="shared" si="0"/>
        <v>3721407.8571428573</v>
      </c>
      <c r="E8" s="111">
        <f>+Tabla6[[#This Row],[COSTO UNIT.]]+$F$15/9</f>
        <v>3721407.8571428573</v>
      </c>
      <c r="F8" s="112">
        <f>Tabla6[[#This Row],[CANT.]]*Tabla6[[#This Row],[COSTO UNIT.]]</f>
        <v>3721407.8571428573</v>
      </c>
      <c r="G8" s="91">
        <f>+Tabla6[[#This Row],[CANT.]]*Tabla6[[#This Row],[C/U c/s]]</f>
        <v>3721407.8571428573</v>
      </c>
      <c r="I8" s="66">
        <f>+Equipos!J13</f>
        <v>2604985.5</v>
      </c>
      <c r="J8" s="66">
        <f t="shared" si="1"/>
        <v>3721407.8571428573</v>
      </c>
    </row>
    <row r="9" spans="1:10">
      <c r="A9" s="90">
        <v>7</v>
      </c>
      <c r="B9" s="89" t="str">
        <f>+Equipos!C14&amp;" - "&amp;Equipos!D14</f>
        <v>- -  TABLERO AUTOSOPORTADO METALICA 
2000X1200X800MM IP55</v>
      </c>
      <c r="C9" s="90">
        <f>+Equipos!H14</f>
        <v>1</v>
      </c>
      <c r="D9" s="105">
        <f t="shared" si="0"/>
        <v>2335038.5714285714</v>
      </c>
      <c r="E9" s="111">
        <f>+Tabla6[[#This Row],[COSTO UNIT.]]+$F$15/9</f>
        <v>2335038.5714285714</v>
      </c>
      <c r="F9" s="112">
        <f>Tabla6[[#This Row],[CANT.]]*Tabla6[[#This Row],[COSTO UNIT.]]</f>
        <v>2335038.5714285714</v>
      </c>
      <c r="G9" s="91">
        <f>+Tabla6[[#This Row],[CANT.]]*Tabla6[[#This Row],[C/U c/s]]</f>
        <v>2335038.5714285714</v>
      </c>
      <c r="I9" s="66">
        <f>+Equipos!J14</f>
        <v>1634527</v>
      </c>
      <c r="J9" s="66">
        <f t="shared" si="1"/>
        <v>2335038.5714285714</v>
      </c>
    </row>
    <row r="10" spans="1:10">
      <c r="A10" s="90">
        <v>8</v>
      </c>
      <c r="B10" s="89" t="str">
        <f>+Equipos!C15&amp;" - "&amp;Equipos!D15</f>
        <v xml:space="preserve"> - Fungibles</v>
      </c>
      <c r="C10" s="90">
        <f>+Equipos!H15</f>
        <v>1</v>
      </c>
      <c r="D10" s="105">
        <f t="shared" si="0"/>
        <v>1142857.142857143</v>
      </c>
      <c r="E10" s="111">
        <f>+Tabla6[[#This Row],[COSTO UNIT.]]+$F$15/9</f>
        <v>1142857.142857143</v>
      </c>
      <c r="F10" s="92">
        <f>Tabla6[[#This Row],[CANT.]]*Tabla6[[#This Row],[COSTO UNIT.]]</f>
        <v>1142857.142857143</v>
      </c>
      <c r="G10" s="91">
        <f>+Tabla6[[#This Row],[CANT.]]*Tabla6[[#This Row],[C/U c/s]]</f>
        <v>1142857.142857143</v>
      </c>
      <c r="I10" s="66">
        <f>+Equipos!J15</f>
        <v>800000</v>
      </c>
      <c r="J10" s="66">
        <f t="shared" si="1"/>
        <v>1142857.142857143</v>
      </c>
    </row>
    <row r="11" spans="1:10">
      <c r="A11" s="100">
        <v>9</v>
      </c>
      <c r="B11" s="89" t="str">
        <f>+Equipos!C16&amp;" - "&amp;Equipos!D16</f>
        <v xml:space="preserve"> - </v>
      </c>
      <c r="C11" s="90">
        <f>+Equipos!H16</f>
        <v>0</v>
      </c>
      <c r="D11" s="105">
        <f t="shared" si="0"/>
        <v>0</v>
      </c>
      <c r="E11" s="111">
        <f>+Tabla6[[#This Row],[COSTO UNIT.]]+$F$15/9</f>
        <v>0</v>
      </c>
      <c r="F11" s="101">
        <f>Tabla6[[#This Row],[CANT.]]*Tabla6[[#This Row],[COSTO UNIT.]]</f>
        <v>0</v>
      </c>
      <c r="G11" s="91">
        <f>+Tabla6[[#This Row],[CANT.]]*Tabla6[[#This Row],[C/U c/s]]</f>
        <v>0</v>
      </c>
      <c r="I11" s="66">
        <f>+Equipos!J16</f>
        <v>0</v>
      </c>
      <c r="J11" s="66">
        <f t="shared" si="1"/>
        <v>0</v>
      </c>
    </row>
    <row r="12" spans="1:10">
      <c r="A12" s="100">
        <v>10</v>
      </c>
      <c r="B12" s="89" t="str">
        <f>+Equipos!C17&amp;" - "&amp;Equipos!D17</f>
        <v xml:space="preserve"> - </v>
      </c>
      <c r="C12" s="90">
        <f>+Equipos!H17</f>
        <v>0</v>
      </c>
      <c r="D12" s="105">
        <f t="shared" ref="D12" si="2">+I12/(1-$J$1)</f>
        <v>0</v>
      </c>
      <c r="E12" s="111">
        <f>+Tabla6[[#This Row],[COSTO UNIT.]]+$F$15/9</f>
        <v>0</v>
      </c>
      <c r="F12" s="101">
        <f>Tabla6[[#This Row],[CANT.]]*Tabla6[[#This Row],[COSTO UNIT.]]</f>
        <v>0</v>
      </c>
      <c r="G12" s="91">
        <f>+Tabla6[[#This Row],[CANT.]]*Tabla6[[#This Row],[C/U c/s]]</f>
        <v>0</v>
      </c>
      <c r="I12" s="66">
        <f>+Equipos!J17</f>
        <v>0</v>
      </c>
      <c r="J12" s="66">
        <f t="shared" si="1"/>
        <v>0</v>
      </c>
    </row>
    <row r="13" spans="1:10">
      <c r="A13" s="100">
        <v>11</v>
      </c>
      <c r="B13" s="89"/>
      <c r="C13" s="90"/>
      <c r="D13" s="111"/>
      <c r="E13" s="111"/>
      <c r="F13" s="101"/>
      <c r="G13" s="91"/>
      <c r="I13" s="66">
        <f>+Equipos!J18</f>
        <v>0</v>
      </c>
      <c r="J13" s="66">
        <f t="shared" si="1"/>
        <v>0</v>
      </c>
    </row>
    <row r="14" spans="1:10">
      <c r="A14" s="100">
        <v>12</v>
      </c>
      <c r="B14" s="89"/>
      <c r="C14" s="90"/>
      <c r="D14" s="111"/>
      <c r="E14" s="111"/>
      <c r="F14" s="101"/>
      <c r="G14" s="91"/>
      <c r="I14" s="66">
        <f>+Equipos!J19</f>
        <v>0</v>
      </c>
      <c r="J14" s="66">
        <f t="shared" si="1"/>
        <v>0</v>
      </c>
    </row>
    <row r="15" spans="1:10">
      <c r="A15" s="90">
        <v>10</v>
      </c>
      <c r="B15" s="89" t="s">
        <v>156</v>
      </c>
      <c r="C15" s="90">
        <v>1</v>
      </c>
      <c r="D15" s="105">
        <f>+I15/(1-$J$1)</f>
        <v>0</v>
      </c>
      <c r="E15" s="105"/>
      <c r="F15" s="92">
        <f>Tabla6[[#This Row],[CANT.]]*Tabla6[[#This Row],[COSTO UNIT.]]</f>
        <v>0</v>
      </c>
      <c r="G15" s="91"/>
      <c r="I15" s="66">
        <v>0</v>
      </c>
      <c r="J15" s="66">
        <f t="shared" si="1"/>
        <v>0</v>
      </c>
    </row>
    <row r="16" spans="1:10">
      <c r="A16" s="2" t="s">
        <v>117</v>
      </c>
      <c r="F16" s="91"/>
      <c r="G16" s="91"/>
    </row>
    <row r="17" spans="4:7">
      <c r="F17" s="91"/>
    </row>
    <row r="18" spans="4:7">
      <c r="D18" s="88" t="s">
        <v>159</v>
      </c>
      <c r="E18" s="88"/>
      <c r="F18" s="73">
        <f>SUM(F3:F14)</f>
        <v>30925608.535714284</v>
      </c>
      <c r="G18" s="73">
        <f>SUM(G3:G14)</f>
        <v>30925608.535714284</v>
      </c>
    </row>
    <row r="20" spans="4:7">
      <c r="G20" s="66">
        <v>7286755.2571428586</v>
      </c>
    </row>
    <row r="24" spans="4:7">
      <c r="E24">
        <v>784110</v>
      </c>
    </row>
    <row r="32" spans="4:7" ht="15.75" thickBot="1"/>
    <row r="33" spans="1:2" ht="15.75" thickBot="1">
      <c r="A33" s="93" t="s">
        <v>144</v>
      </c>
      <c r="B33" s="83" t="s">
        <v>145</v>
      </c>
    </row>
    <row r="34" spans="1:2">
      <c r="A34" s="84">
        <v>1</v>
      </c>
      <c r="B34" s="84">
        <v>1</v>
      </c>
    </row>
    <row r="35" spans="1:2">
      <c r="A35" s="85">
        <v>2</v>
      </c>
      <c r="B35" s="85">
        <v>1</v>
      </c>
    </row>
    <row r="36" spans="1:2">
      <c r="A36" s="84">
        <v>3</v>
      </c>
      <c r="B36" s="84">
        <v>1</v>
      </c>
    </row>
    <row r="37" spans="1:2" ht="15.75" thickBot="1"/>
    <row r="38" spans="1:2" ht="15.75" thickBot="1">
      <c r="A38" s="131" t="s">
        <v>146</v>
      </c>
      <c r="B38" s="131"/>
    </row>
    <row r="40" spans="1:2" ht="15.75" thickBot="1"/>
    <row r="41" spans="1:2" ht="15.75" thickBot="1">
      <c r="A41" s="93" t="s">
        <v>144</v>
      </c>
      <c r="B41" s="83" t="s">
        <v>145</v>
      </c>
    </row>
    <row r="42" spans="1:2" ht="15.75" thickBot="1">
      <c r="A42" s="84">
        <v>1</v>
      </c>
      <c r="B42" s="84" t="s">
        <v>147</v>
      </c>
    </row>
    <row r="43" spans="1:2" ht="15.75" thickBot="1">
      <c r="A43" s="131"/>
      <c r="B43" s="131"/>
    </row>
  </sheetData>
  <mergeCells count="2">
    <mergeCell ref="A38:B38"/>
    <mergeCell ref="A43:B4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 GENERAL</vt:lpstr>
      <vt:lpstr>Ingeniería y Planificación</vt:lpstr>
      <vt:lpstr>Adicionales</vt:lpstr>
      <vt:lpstr>Integración Eléctrica</vt:lpstr>
      <vt:lpstr>Equipos</vt:lpstr>
      <vt:lpstr>Flete</vt:lpstr>
      <vt:lpstr>Montaje</vt:lpstr>
      <vt:lpstr>Otros</vt:lpstr>
      <vt:lpstr>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Padilla</dc:creator>
  <cp:lastModifiedBy>Christian Barahona</cp:lastModifiedBy>
  <cp:lastPrinted>2021-09-10T01:12:47Z</cp:lastPrinted>
  <dcterms:created xsi:type="dcterms:W3CDTF">2012-03-19T19:45:11Z</dcterms:created>
  <dcterms:modified xsi:type="dcterms:W3CDTF">2026-08-06T19:13:32Z</dcterms:modified>
</cp:coreProperties>
</file>